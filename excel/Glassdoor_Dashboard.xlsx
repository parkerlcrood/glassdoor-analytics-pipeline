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F:\Downloads\"/>
    </mc:Choice>
  </mc:AlternateContent>
  <xr:revisionPtr revIDLastSave="0" documentId="13_ncr:1_{1A2AB233-007A-49BD-823C-15CB61E16E8B}" xr6:coauthVersionLast="47" xr6:coauthVersionMax="47" xr10:uidLastSave="{00000000-0000-0000-0000-000000000000}"/>
  <bookViews>
    <workbookView xWindow="-120" yWindow="-120" windowWidth="29040" windowHeight="15720" activeTab="2" xr2:uid="{00000000-000D-0000-FFFF-FFFF00000000}"/>
  </bookViews>
  <sheets>
    <sheet name="WorkingData" sheetId="1" r:id="rId1"/>
    <sheet name="PivotTables" sheetId="2" r:id="rId2"/>
    <sheet name="Dashboard" sheetId="3" r:id="rId3"/>
  </sheets>
  <definedNames>
    <definedName name="Slicer_On_Site">#N/A</definedName>
    <definedName name="Slicer_Requires_Power_BI">#N/A</definedName>
    <definedName name="Slicer_Requires_Python">#N/A</definedName>
    <definedName name="Slicer_Requires_SQL">#N/A</definedName>
    <definedName name="Slicer_Requires_Tableau">#N/A</definedName>
  </definedNames>
  <calcPr calcId="191029"/>
  <pivotCaches>
    <pivotCache cacheId="3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2" i="1"/>
</calcChain>
</file>

<file path=xl/sharedStrings.xml><?xml version="1.0" encoding="utf-8"?>
<sst xmlns="http://schemas.openxmlformats.org/spreadsheetml/2006/main" count="4486" uniqueCount="1183">
  <si>
    <t>Data Scientist</t>
  </si>
  <si>
    <t>US Internal Revenue Service</t>
  </si>
  <si>
    <t>Huntsville</t>
  </si>
  <si>
    <t>AL</t>
  </si>
  <si>
    <t>Oasis Systems LLC</t>
  </si>
  <si>
    <t>US Federal Bureau of Investigation</t>
  </si>
  <si>
    <t>(USA) Principal Data Scientist - E2E</t>
  </si>
  <si>
    <t>Walmart</t>
  </si>
  <si>
    <t>Bentonville</t>
  </si>
  <si>
    <t>AR</t>
  </si>
  <si>
    <t>Data Scientist- Marketing</t>
  </si>
  <si>
    <t>Sam's Club</t>
  </si>
  <si>
    <t>Arkansas Blue Cross and Blue Shield</t>
  </si>
  <si>
    <t>Little Rock</t>
  </si>
  <si>
    <t>Pashtek</t>
  </si>
  <si>
    <t>Arizona City</t>
  </si>
  <si>
    <t>AZ</t>
  </si>
  <si>
    <t>Data Engineer</t>
  </si>
  <si>
    <t>REPS &amp; Co.</t>
  </si>
  <si>
    <t>Data Scientist Senior</t>
  </si>
  <si>
    <t>APS</t>
  </si>
  <si>
    <t>Phoenix</t>
  </si>
  <si>
    <t>Data Scientist I</t>
  </si>
  <si>
    <t>Freeport McMoRan</t>
  </si>
  <si>
    <t>PetSmart</t>
  </si>
  <si>
    <t>MST Solutions</t>
  </si>
  <si>
    <t>Sr Data Scientist</t>
  </si>
  <si>
    <t>University of Phoenix</t>
  </si>
  <si>
    <t>DigiT Data Software Engineer</t>
  </si>
  <si>
    <t>INTEL</t>
  </si>
  <si>
    <t>Senior Data Scientist</t>
  </si>
  <si>
    <t>Cydcor</t>
  </si>
  <si>
    <t>Agoura Hills</t>
  </si>
  <si>
    <t>CA</t>
  </si>
  <si>
    <t>Principal Bioinformatics Scientist (Cancer Biology)</t>
  </si>
  <si>
    <t>Exelixis, Inc.</t>
  </si>
  <si>
    <t>Alameda</t>
  </si>
  <si>
    <t>Abbott Laboratories</t>
  </si>
  <si>
    <t>Data Science Analyst</t>
  </si>
  <si>
    <t>Honda Center</t>
  </si>
  <si>
    <t>Anaheim</t>
  </si>
  <si>
    <t>Data Scientist/AI Engineer</t>
  </si>
  <si>
    <t>DeepVu</t>
  </si>
  <si>
    <t>Berkeley</t>
  </si>
  <si>
    <t>Bec Dx Jr Data Scientist</t>
  </si>
  <si>
    <t>Beckman Coulter Diagnostics</t>
  </si>
  <si>
    <t>Brea</t>
  </si>
  <si>
    <t>Core Tech TPM, Data and ML</t>
  </si>
  <si>
    <t>Meta</t>
  </si>
  <si>
    <t>Burlingame</t>
  </si>
  <si>
    <t>REVOLVE</t>
  </si>
  <si>
    <t>Cerritos</t>
  </si>
  <si>
    <t>QSC, LLC</t>
  </si>
  <si>
    <t>Costa Mesa</t>
  </si>
  <si>
    <t>Intelliswift Software, Inc.</t>
  </si>
  <si>
    <t>Culver City</t>
  </si>
  <si>
    <t>Data Scientist V Data Science</t>
  </si>
  <si>
    <t>Kaiser Permanente</t>
  </si>
  <si>
    <t>Downey</t>
  </si>
  <si>
    <t>Data Scientist (Hybrid)</t>
  </si>
  <si>
    <t>City of Hope</t>
  </si>
  <si>
    <t>Duarte</t>
  </si>
  <si>
    <t>College Graduate - Physics (BS/MS)</t>
  </si>
  <si>
    <t>Folsom</t>
  </si>
  <si>
    <t>Zoox</t>
  </si>
  <si>
    <t>Foster City</t>
  </si>
  <si>
    <t>Senior Data Scientist - Modeling &amp; Optimization</t>
  </si>
  <si>
    <t>DISH</t>
  </si>
  <si>
    <t>APPIC Solutions LLC</t>
  </si>
  <si>
    <t>Senior Data Scientist- Data Strategy</t>
  </si>
  <si>
    <t>Siemens Digital Industries Software</t>
  </si>
  <si>
    <t>Fremont</t>
  </si>
  <si>
    <t>Sr. Data Scientist, Reliability Engineering</t>
  </si>
  <si>
    <t>Tesla</t>
  </si>
  <si>
    <t>Data Scientist 5</t>
  </si>
  <si>
    <t>Lam Research</t>
  </si>
  <si>
    <t>SoundThinking</t>
  </si>
  <si>
    <t>Public Storage</t>
  </si>
  <si>
    <t>Glendale</t>
  </si>
  <si>
    <t>Sr. Data Scientist (Starlink Product)</t>
  </si>
  <si>
    <t>SpaceX</t>
  </si>
  <si>
    <t>Hawthorne</t>
  </si>
  <si>
    <t>Endpoint Closing</t>
  </si>
  <si>
    <t>Irvine</t>
  </si>
  <si>
    <t>Principal Data Scientist</t>
  </si>
  <si>
    <t>CoreLogic</t>
  </si>
  <si>
    <t>Panasonic Avionics Corporation</t>
  </si>
  <si>
    <t>Data Scientist Algorithm Developer</t>
  </si>
  <si>
    <t>Raptor Scientific</t>
  </si>
  <si>
    <t>Livermore</t>
  </si>
  <si>
    <t>Data Scientist/Algorithm Developer</t>
  </si>
  <si>
    <t>Data Scientist 2 - Cross Function, Machine Learning &amp; Analytical Data Products - Hybrid - Seattle or Los Angeles</t>
  </si>
  <si>
    <t>Nordstrom Inc</t>
  </si>
  <si>
    <t>Los Angeles</t>
  </si>
  <si>
    <t>Data Scientist- CalAIM</t>
  </si>
  <si>
    <t>Heluna Health</t>
  </si>
  <si>
    <t>Research Associate Data Scientist - Nursing Research</t>
  </si>
  <si>
    <t>CEDARS-SINAI</t>
  </si>
  <si>
    <t>ManTech International Corporation</t>
  </si>
  <si>
    <t>Data Scientist (L5), Member Product</t>
  </si>
  <si>
    <t>Netflix</t>
  </si>
  <si>
    <t>Los Gatos</t>
  </si>
  <si>
    <t>Menlo Park</t>
  </si>
  <si>
    <t>Data Scientist / Senior Data Scientist</t>
  </si>
  <si>
    <t>Sonasoft Corp.</t>
  </si>
  <si>
    <t>LexisNexis</t>
  </si>
  <si>
    <t>Data Scientist 2, Menlo Park, CA # 3192</t>
  </si>
  <si>
    <t>GRAIL</t>
  </si>
  <si>
    <t>Teknatio</t>
  </si>
  <si>
    <t>DUOPEAK</t>
  </si>
  <si>
    <t>Staff Data Scientist</t>
  </si>
  <si>
    <t>Intuit</t>
  </si>
  <si>
    <t>Mountain View</t>
  </si>
  <si>
    <t>eTeam Inc.</t>
  </si>
  <si>
    <t>Data Scientist, Tiktok Ads-Vertical Solutions</t>
  </si>
  <si>
    <t>TikTok</t>
  </si>
  <si>
    <t>Data Scientist - Tiktok Ads, Growth Marketing</t>
  </si>
  <si>
    <t>ByteDance</t>
  </si>
  <si>
    <t>Principal Technical Data Scientist</t>
  </si>
  <si>
    <t>Atlassian</t>
  </si>
  <si>
    <t>Moveworks.ai</t>
  </si>
  <si>
    <t>Sr. Data Scientist</t>
  </si>
  <si>
    <t>Coupang</t>
  </si>
  <si>
    <t>Data Scientist / Analyst</t>
  </si>
  <si>
    <t>Study.com</t>
  </si>
  <si>
    <t>Forward Deployed Data Scientist</t>
  </si>
  <si>
    <t>Kumo</t>
  </si>
  <si>
    <t>Lucid Motors</t>
  </si>
  <si>
    <t>Newark</t>
  </si>
  <si>
    <t>Cloudwick</t>
  </si>
  <si>
    <t>PG&amp;E Corporation</t>
  </si>
  <si>
    <t>Oakland</t>
  </si>
  <si>
    <t>Data Analyst, Senior</t>
  </si>
  <si>
    <t>SAP</t>
  </si>
  <si>
    <t>Palo Alto</t>
  </si>
  <si>
    <t>Sr. Data Engineer</t>
  </si>
  <si>
    <t>Rivian</t>
  </si>
  <si>
    <t>Data Engineer - AI/ML</t>
  </si>
  <si>
    <t>Stanford Health Care</t>
  </si>
  <si>
    <t>Data Scientist - AI/ML</t>
  </si>
  <si>
    <t>Data Scientist, Machine Learning</t>
  </si>
  <si>
    <t>Aptos</t>
  </si>
  <si>
    <t>Senior Data Scientist - Analytics</t>
  </si>
  <si>
    <t>AppLovin</t>
  </si>
  <si>
    <t>Tencent</t>
  </si>
  <si>
    <t>Associate Data Scientist</t>
  </si>
  <si>
    <t>Albertsons Companies</t>
  </si>
  <si>
    <t>Pleasanton</t>
  </si>
  <si>
    <t>Software Engineer - Data Scientist</t>
  </si>
  <si>
    <t>Tau</t>
  </si>
  <si>
    <t>Redwood City</t>
  </si>
  <si>
    <t>Galaxy Technologies</t>
  </si>
  <si>
    <t>Riverside</t>
  </si>
  <si>
    <t>San Bruno</t>
  </si>
  <si>
    <t>Jr. Data Scientist, Minerva Analytics</t>
  </si>
  <si>
    <t>Amazon.com Services LLC</t>
  </si>
  <si>
    <t>San Diego</t>
  </si>
  <si>
    <t>Senior Principal Data Scientist</t>
  </si>
  <si>
    <t>Bristol Myers Squibb</t>
  </si>
  <si>
    <t>Virtus Investment Partners, Inc.</t>
  </si>
  <si>
    <t>Data Scientist: Advanced Analytics</t>
  </si>
  <si>
    <t>SysIntelli</t>
  </si>
  <si>
    <t>Senior Data Scientist, Causal Inference - Marketing Technology (6 - 12 Month Contract)</t>
  </si>
  <si>
    <t>Airbnb</t>
  </si>
  <si>
    <t>San Francisco</t>
  </si>
  <si>
    <t>Machine Learning Data Scientist - Growth Algorithms</t>
  </si>
  <si>
    <t>Stitch Fix</t>
  </si>
  <si>
    <t>Activision</t>
  </si>
  <si>
    <t>Salesforce</t>
  </si>
  <si>
    <t>Staff Data Scientist - Algorithms, Guest Science</t>
  </si>
  <si>
    <t>Senior Manager, Data Science</t>
  </si>
  <si>
    <t>Foursquare</t>
  </si>
  <si>
    <t>Staff Data Scientist - Advertising</t>
  </si>
  <si>
    <t>Demandbase</t>
  </si>
  <si>
    <t>Senior Data Scientist ML Engineer</t>
  </si>
  <si>
    <t>Forge Global</t>
  </si>
  <si>
    <t>Data Scientist, Product</t>
  </si>
  <si>
    <t>Notion</t>
  </si>
  <si>
    <t>Data Scientist, Sales Insights</t>
  </si>
  <si>
    <t>Genentech</t>
  </si>
  <si>
    <t>Data Scientist, Analytics</t>
  </si>
  <si>
    <t>Parafin</t>
  </si>
  <si>
    <t>Senior Data Scientist - Measurement</t>
  </si>
  <si>
    <t>LiveRamp</t>
  </si>
  <si>
    <t>Data Analyst, Marketing</t>
  </si>
  <si>
    <t>Senior People Data Scientist</t>
  </si>
  <si>
    <t>Pinterest</t>
  </si>
  <si>
    <t>Senior Data Scientist, Ads Fraud Protection</t>
  </si>
  <si>
    <t>Unity Technologies</t>
  </si>
  <si>
    <t>Staff Data Scientist - Marketing</t>
  </si>
  <si>
    <t>Instacart</t>
  </si>
  <si>
    <t>Senior Data Scientist, Forecasting</t>
  </si>
  <si>
    <t>Hinge Health</t>
  </si>
  <si>
    <t>Senior Data Scientist, Analytics (Communities)</t>
  </si>
  <si>
    <t>Discord</t>
  </si>
  <si>
    <t>Sr. Data Scientist - Data Quality</t>
  </si>
  <si>
    <t>Early Warning Services</t>
  </si>
  <si>
    <t>Staff Data Scientist, Cash App Compliance</t>
  </si>
  <si>
    <t>Cash App</t>
  </si>
  <si>
    <t>Sr. Data Scientist, Content</t>
  </si>
  <si>
    <t>Lawrence Berkeley National Laboratory</t>
  </si>
  <si>
    <t>Data Scientist, AI Expertise</t>
  </si>
  <si>
    <t>Sephora</t>
  </si>
  <si>
    <t>University of California San Francisco</t>
  </si>
  <si>
    <t>BICP</t>
  </si>
  <si>
    <t>Machine Learning Engineer</t>
  </si>
  <si>
    <t>Qcells</t>
  </si>
  <si>
    <t>Data Instrument Engineer</t>
  </si>
  <si>
    <t>Deloitte</t>
  </si>
  <si>
    <t>Date Scientist</t>
  </si>
  <si>
    <t>IDEASVOICE</t>
  </si>
  <si>
    <t>Lead Data Scientist - TikTok User Growth</t>
  </si>
  <si>
    <t>San Jose</t>
  </si>
  <si>
    <t>Sr Data Scientist, Risk Data Mining</t>
  </si>
  <si>
    <t>E-commerce Data Scientist</t>
  </si>
  <si>
    <t>Senior AI/ML Fraud Strategist/ Data Scientist</t>
  </si>
  <si>
    <t>Adobe</t>
  </si>
  <si>
    <t>Big Data Federation</t>
  </si>
  <si>
    <t>Jr. Data Scientist</t>
  </si>
  <si>
    <t>Kyla</t>
  </si>
  <si>
    <t>2024 University Graduate - Data Scientist</t>
  </si>
  <si>
    <t>Advance OC</t>
  </si>
  <si>
    <t>San Juan Capistrano</t>
  </si>
  <si>
    <t>Technical Lead Data Scientist, Creator</t>
  </si>
  <si>
    <t>Roblox</t>
  </si>
  <si>
    <t>San Mateo</t>
  </si>
  <si>
    <t>Senior Data Scientist - Discovery Experiences</t>
  </si>
  <si>
    <t>Freshworks</t>
  </si>
  <si>
    <t>Data Scientist, Infrastructure Foundation</t>
  </si>
  <si>
    <t>Sr. Data Scientist (Strategic Insights)</t>
  </si>
  <si>
    <t>PlayStation Global</t>
  </si>
  <si>
    <t>Staff Data Scientist - Deep Learning</t>
  </si>
  <si>
    <t>GE Healthcare</t>
  </si>
  <si>
    <t>San Ramon</t>
  </si>
  <si>
    <t>First American Financial Corporation</t>
  </si>
  <si>
    <t>Santa Ana</t>
  </si>
  <si>
    <t>Senior Data Scientist, Ops Data Platform</t>
  </si>
  <si>
    <t>NVIDIA</t>
  </si>
  <si>
    <t>Santa Clara</t>
  </si>
  <si>
    <t>Staff Data Scientist-Generative AI and NLP</t>
  </si>
  <si>
    <t>ServiceNow</t>
  </si>
  <si>
    <t>Colsh Consultants</t>
  </si>
  <si>
    <t>College Graduate - Data Science (BS/MS)</t>
  </si>
  <si>
    <t>College Graduate - Computer Engineering - (Bachelors)</t>
  </si>
  <si>
    <t>Fullpower Technologies, Inc.</t>
  </si>
  <si>
    <t>Santa Cruz</t>
  </si>
  <si>
    <t>Disney Media &amp; Entertainment Distribution</t>
  </si>
  <si>
    <t>Santa Monica</t>
  </si>
  <si>
    <t>Senior Data Scientist, Sponsored Products</t>
  </si>
  <si>
    <t>Senior/Principal Data Scientist</t>
  </si>
  <si>
    <t>CALICO</t>
  </si>
  <si>
    <t>South San Francisco</t>
  </si>
  <si>
    <t>Data Scientist/Senior Data Scientist, Metabolomics</t>
  </si>
  <si>
    <t>Standard Biotools</t>
  </si>
  <si>
    <t>Machine Learning Scientist (Chemistry)</t>
  </si>
  <si>
    <t>Scismic</t>
  </si>
  <si>
    <t>Data Scientist, RegLab</t>
  </si>
  <si>
    <t>Stanford University</t>
  </si>
  <si>
    <t>Stanford</t>
  </si>
  <si>
    <t>Sunnyvale</t>
  </si>
  <si>
    <t>Staff Software Engineer | Machine Learning</t>
  </si>
  <si>
    <t>Machine Learning Data Scientist</t>
  </si>
  <si>
    <t>Machinify</t>
  </si>
  <si>
    <t>Unspecified</t>
  </si>
  <si>
    <t>Twitch Interactive, Inc.</t>
  </si>
  <si>
    <t>American Honda Motor Co</t>
  </si>
  <si>
    <t>Junior Data Scientist</t>
  </si>
  <si>
    <t>FriendFinder Networks</t>
  </si>
  <si>
    <t>Bayesian Statistician (Data Scientist)</t>
  </si>
  <si>
    <t>ICR inc.</t>
  </si>
  <si>
    <t>Aurora</t>
  </si>
  <si>
    <t>CO</t>
  </si>
  <si>
    <t>Data Scientist 3 DS3 (VV) 1034</t>
  </si>
  <si>
    <t>Clarity Innovations, LLC</t>
  </si>
  <si>
    <t>Bioinformatics Analyst / Data Scientist</t>
  </si>
  <si>
    <t>University of Colorado</t>
  </si>
  <si>
    <t>Scientist Sr/Pr - Data Scientist</t>
  </si>
  <si>
    <t>Think Bioscience</t>
  </si>
  <si>
    <t>Boulder</t>
  </si>
  <si>
    <t>Environmental Data Scientist I</t>
  </si>
  <si>
    <t>Battelle</t>
  </si>
  <si>
    <t>US National Oceanic and Atmospheric Administration</t>
  </si>
  <si>
    <t>Prescient Edge Federal</t>
  </si>
  <si>
    <t>Colorado Springs</t>
  </si>
  <si>
    <t>KBR</t>
  </si>
  <si>
    <t>Senior Staff Data Scientist</t>
  </si>
  <si>
    <t>Udemy</t>
  </si>
  <si>
    <t>Denver</t>
  </si>
  <si>
    <t>VIZIO, Inc.</t>
  </si>
  <si>
    <t>Evolve</t>
  </si>
  <si>
    <t>Excelacom</t>
  </si>
  <si>
    <t>ShyftLabs</t>
  </si>
  <si>
    <t>Lightsource BP</t>
  </si>
  <si>
    <t>Denver Health</t>
  </si>
  <si>
    <t>Data Scientist II/III</t>
  </si>
  <si>
    <t>National Renewable Energy Laboratory</t>
  </si>
  <si>
    <t>Golden</t>
  </si>
  <si>
    <t>Contract - Data Scientist</t>
  </si>
  <si>
    <t>Global Healthcare Exchange, Inc.</t>
  </si>
  <si>
    <t>Louisville</t>
  </si>
  <si>
    <t>GHX</t>
  </si>
  <si>
    <t>Statistician- Data Scientist III- PCAPP</t>
  </si>
  <si>
    <t>Pueblo</t>
  </si>
  <si>
    <t>Applanix</t>
  </si>
  <si>
    <t>Westminster</t>
  </si>
  <si>
    <t>Sr Dir &amp; Data Scientist - AI &amp; Underwriting Automation</t>
  </si>
  <si>
    <t>The Travelers Companies, Inc.</t>
  </si>
  <si>
    <t>Hartford</t>
  </si>
  <si>
    <t>CT</t>
  </si>
  <si>
    <t>Senior Health Data Scientist</t>
  </si>
  <si>
    <t>Connecticut Children's Medical Center</t>
  </si>
  <si>
    <t>Adela, Inc.</t>
  </si>
  <si>
    <t>New Haven</t>
  </si>
  <si>
    <t>Yale University</t>
  </si>
  <si>
    <t>Data Scientist/Data Analyst</t>
  </si>
  <si>
    <t>Clifford Beers Community Care Center</t>
  </si>
  <si>
    <t>The Chefs' Warehouse</t>
  </si>
  <si>
    <t>Ridgefield</t>
  </si>
  <si>
    <t>Managing Director Data Scientist Engineer</t>
  </si>
  <si>
    <t>Webster Financial Corp</t>
  </si>
  <si>
    <t>Stamford</t>
  </si>
  <si>
    <t>Specialist Solutions Architect - Machine Learning (Public Sector)</t>
  </si>
  <si>
    <t>Databricks</t>
  </si>
  <si>
    <t>Washington</t>
  </si>
  <si>
    <t>DC</t>
  </si>
  <si>
    <t>Mathematical Statistician or Statistician (Data Scientist)</t>
  </si>
  <si>
    <t>U.S. Securities &amp; Exchange Commission</t>
  </si>
  <si>
    <t>Data Scientist - NLP</t>
  </si>
  <si>
    <t>Bloomberg BNA</t>
  </si>
  <si>
    <t>Data Scientist (Open to both U.S. Citizens and Federal Employees)</t>
  </si>
  <si>
    <t>US Office of the Secretary of Transportation</t>
  </si>
  <si>
    <t>Visa</t>
  </si>
  <si>
    <t>Statistician (Data Scientist)</t>
  </si>
  <si>
    <t>US National Agricultural Statistics Service</t>
  </si>
  <si>
    <t>Data Scientist (Artificial Intelligence / Machine Learning)</t>
  </si>
  <si>
    <t>ABS Consulting</t>
  </si>
  <si>
    <t>Federal Bureau of Investigation</t>
  </si>
  <si>
    <t>QVine Corporation</t>
  </si>
  <si>
    <t>Logistics Management Institute</t>
  </si>
  <si>
    <t>US Federal Energy Regulatory Commission</t>
  </si>
  <si>
    <t>Data Scientist (Direct Hire)</t>
  </si>
  <si>
    <t>US Federal Aviation Administration</t>
  </si>
  <si>
    <t>Quantitative Analyst/Data Scientist</t>
  </si>
  <si>
    <t>Leidos</t>
  </si>
  <si>
    <t>US Customs and Border Protection</t>
  </si>
  <si>
    <t>Entry Level - Associate Consultant (Federal)</t>
  </si>
  <si>
    <t>IBM</t>
  </si>
  <si>
    <t>Data Analytics Engineer</t>
  </si>
  <si>
    <t>Procter &amp; Gamble</t>
  </si>
  <si>
    <t>Dover</t>
  </si>
  <si>
    <t>DE</t>
  </si>
  <si>
    <t>Data Engineer Analyst</t>
  </si>
  <si>
    <t>Air Liquide</t>
  </si>
  <si>
    <t>Newport</t>
  </si>
  <si>
    <t>Sr Clinical Data Scientist</t>
  </si>
  <si>
    <t>IQVIA</t>
  </si>
  <si>
    <t>Wilmington</t>
  </si>
  <si>
    <t>OneMain Financial</t>
  </si>
  <si>
    <t>Jr. Engineer, Data Scientist</t>
  </si>
  <si>
    <t>Advanced Technology and Research Corporation</t>
  </si>
  <si>
    <t>Fort Lauderdale</t>
  </si>
  <si>
    <t>FL</t>
  </si>
  <si>
    <t>Sr. Consultant, Data Scientist</t>
  </si>
  <si>
    <t>WSP</t>
  </si>
  <si>
    <t>Sabal Tech</t>
  </si>
  <si>
    <t>Lead Data Scientist</t>
  </si>
  <si>
    <t>Trajector</t>
  </si>
  <si>
    <t>Gainesville</t>
  </si>
  <si>
    <t>Iron EagleX</t>
  </si>
  <si>
    <t>Hurlburt Field</t>
  </si>
  <si>
    <t>Sr. Data Scientist (Data Stewardship)</t>
  </si>
  <si>
    <t>CSX</t>
  </si>
  <si>
    <t>Jacksonville</t>
  </si>
  <si>
    <t>Consumer Products Games &amp; Publishing</t>
  </si>
  <si>
    <t>Kissimmee</t>
  </si>
  <si>
    <t>Disney</t>
  </si>
  <si>
    <t>Specialist, Data Scientist</t>
  </si>
  <si>
    <t>BNY Mellon</t>
  </si>
  <si>
    <t>Lake Mary</t>
  </si>
  <si>
    <t>Field Data Scientist (Spanish speaking) - IDS2009</t>
  </si>
  <si>
    <t>Mastercard</t>
  </si>
  <si>
    <t>Miami</t>
  </si>
  <si>
    <t>Research Data Analyst</t>
  </si>
  <si>
    <t>Health Choice Network</t>
  </si>
  <si>
    <t>Quantitative Researcher (Data Scientist)</t>
  </si>
  <si>
    <t>Atto Trading</t>
  </si>
  <si>
    <t>Miami Beach</t>
  </si>
  <si>
    <t>Principal Data Scientist - Machine Learning</t>
  </si>
  <si>
    <t>Arthrex</t>
  </si>
  <si>
    <t>Naples</t>
  </si>
  <si>
    <t>Sr. Data Scientist II</t>
  </si>
  <si>
    <t>Data Scientist, Data Services - Remote</t>
  </si>
  <si>
    <t>Hilton Grand Vacations</t>
  </si>
  <si>
    <t>Orlando</t>
  </si>
  <si>
    <t>Grace Hopper 2023: Data Scientist</t>
  </si>
  <si>
    <t>Chewy</t>
  </si>
  <si>
    <t>Plantation</t>
  </si>
  <si>
    <t>Skylight</t>
  </si>
  <si>
    <t>Sarasota</t>
  </si>
  <si>
    <t>The Mosaic Company (Tampa, FL)</t>
  </si>
  <si>
    <t>Tampa</t>
  </si>
  <si>
    <t>Entry Level - Associate Data Scientist - Commercial</t>
  </si>
  <si>
    <t>Atlanta</t>
  </si>
  <si>
    <t>GA</t>
  </si>
  <si>
    <t>Lead Data Scientist - Online Platforms Reinforcement Learning (Remote)</t>
  </si>
  <si>
    <t>Home Depot / THD</t>
  </si>
  <si>
    <t>Data Scientist, Customer Identity &amp; Access Management</t>
  </si>
  <si>
    <t>Afterpay</t>
  </si>
  <si>
    <t>DATA SCIENTIST</t>
  </si>
  <si>
    <t>Williams Consulting LLC</t>
  </si>
  <si>
    <t>Data Analyst Lead - Data Scientist</t>
  </si>
  <si>
    <t>Capgemini</t>
  </si>
  <si>
    <t>Finastra</t>
  </si>
  <si>
    <t>Senior Data Analyst</t>
  </si>
  <si>
    <t>Data Scientist – Entry Level 2024</t>
  </si>
  <si>
    <t>Public Notice for Direct Hire (Data Modernization)</t>
  </si>
  <si>
    <t>Centers for Disease Control and Prevention</t>
  </si>
  <si>
    <t>Data Scientist - Augusta Ga</t>
  </si>
  <si>
    <t>TaxSlayer</t>
  </si>
  <si>
    <t>Augusta</t>
  </si>
  <si>
    <t>Data Scientist/SR Data Scientist</t>
  </si>
  <si>
    <t>Boehringer Ingelheim Animal Health USA</t>
  </si>
  <si>
    <t>Duluth</t>
  </si>
  <si>
    <t>AG Grace Inc</t>
  </si>
  <si>
    <t>Fort Gordon</t>
  </si>
  <si>
    <t>OTS Solutions</t>
  </si>
  <si>
    <t>Gordon</t>
  </si>
  <si>
    <t>UFG Insurance</t>
  </si>
  <si>
    <t>Cedar Rapids</t>
  </si>
  <si>
    <t>IA</t>
  </si>
  <si>
    <t>Data Scientist Consultant</t>
  </si>
  <si>
    <t>Dutech Systems</t>
  </si>
  <si>
    <t>Des Moines</t>
  </si>
  <si>
    <t>The University of Iowa</t>
  </si>
  <si>
    <t>Iowa City</t>
  </si>
  <si>
    <t>Senior Data Scientist II</t>
  </si>
  <si>
    <t>NORC at the University of Chicago</t>
  </si>
  <si>
    <t>Chicago</t>
  </si>
  <si>
    <t>IL</t>
  </si>
  <si>
    <t>Imprivata</t>
  </si>
  <si>
    <t>NielsenIQ</t>
  </si>
  <si>
    <t>McDonald's Corporation</t>
  </si>
  <si>
    <t>Intone Networks</t>
  </si>
  <si>
    <t>Short-term trading desk Data Scientist (m/f/t)</t>
  </si>
  <si>
    <t>RWE</t>
  </si>
  <si>
    <t>DLA Piper</t>
  </si>
  <si>
    <t>US Securities and Exchange Commission</t>
  </si>
  <si>
    <t>HCSC</t>
  </si>
  <si>
    <t>Data Scientist - BCG X</t>
  </si>
  <si>
    <t>Boston Consulting Group</t>
  </si>
  <si>
    <t>GroupM Nexus Xaxis</t>
  </si>
  <si>
    <t>Pareto Intelligence</t>
  </si>
  <si>
    <t>Fooda</t>
  </si>
  <si>
    <t>Data Scientist (Remote)</t>
  </si>
  <si>
    <t>Epsilon</t>
  </si>
  <si>
    <t>Financial Business Analyst</t>
  </si>
  <si>
    <t>Echo Global Logistics</t>
  </si>
  <si>
    <t>Caterpillar</t>
  </si>
  <si>
    <t>Chillicothe</t>
  </si>
  <si>
    <t>ABBVIE</t>
  </si>
  <si>
    <t>Crystal Lake</t>
  </si>
  <si>
    <t>Data Scientist Sr</t>
  </si>
  <si>
    <t>Medline Industries Inc</t>
  </si>
  <si>
    <t>Libertyville</t>
  </si>
  <si>
    <t>Camping World</t>
  </si>
  <si>
    <t>Lincolnshire</t>
  </si>
  <si>
    <t>Marketing Data Scientist</t>
  </si>
  <si>
    <t>Brunswick Corporation</t>
  </si>
  <si>
    <t>Mettawa</t>
  </si>
  <si>
    <t>Morton</t>
  </si>
  <si>
    <t>Ascension</t>
  </si>
  <si>
    <t>Oak Brook</t>
  </si>
  <si>
    <t>The Infosoft Group</t>
  </si>
  <si>
    <t>Riverwoods</t>
  </si>
  <si>
    <t>Lead Data Science Analyst (multiple openings) - IHM</t>
  </si>
  <si>
    <t>Discover Financial Services</t>
  </si>
  <si>
    <t>Wintrust Financial</t>
  </si>
  <si>
    <t>Rosemont</t>
  </si>
  <si>
    <t>Remote Data Scientist</t>
  </si>
  <si>
    <t>Data Scientist Co-Op</t>
  </si>
  <si>
    <t>Motorola Solutions</t>
  </si>
  <si>
    <t>Schaumburg</t>
  </si>
  <si>
    <t>Machine Learning / NLP Data Scientist</t>
  </si>
  <si>
    <t>Attadale Partners</t>
  </si>
  <si>
    <t>Kraft Heinz Company</t>
  </si>
  <si>
    <t>eimagine</t>
  </si>
  <si>
    <t>Indianapolis</t>
  </si>
  <si>
    <t>IN</t>
  </si>
  <si>
    <t>Indiana University Health</t>
  </si>
  <si>
    <t>Technology Solutions Partners</t>
  </si>
  <si>
    <t>Olathe</t>
  </si>
  <si>
    <t>KS</t>
  </si>
  <si>
    <t>Bamboo Health</t>
  </si>
  <si>
    <t>KY</t>
  </si>
  <si>
    <t>Galen College of Nursing</t>
  </si>
  <si>
    <t>Objective Medical Systems</t>
  </si>
  <si>
    <t>Houma</t>
  </si>
  <si>
    <t>LA</t>
  </si>
  <si>
    <t>CGI Group, Inc.</t>
  </si>
  <si>
    <t>Lafayette</t>
  </si>
  <si>
    <t>Sasol</t>
  </si>
  <si>
    <t>Lake Charles</t>
  </si>
  <si>
    <t>IS Data Consultant</t>
  </si>
  <si>
    <t>Ochsner Health System</t>
  </si>
  <si>
    <t>New Orleans</t>
  </si>
  <si>
    <t>iO Data Scientist</t>
  </si>
  <si>
    <t>Rockstar Games</t>
  </si>
  <si>
    <t>Andover</t>
  </si>
  <si>
    <t>MA</t>
  </si>
  <si>
    <t>Blue Cross Blue Shield of Massachusetts</t>
  </si>
  <si>
    <t>Boston</t>
  </si>
  <si>
    <t>Principal Machine Learning Engineer</t>
  </si>
  <si>
    <t>Data Software Engineer</t>
  </si>
  <si>
    <t>MASS MUTUAL FINANCIAL GROUP</t>
  </si>
  <si>
    <t>Senior Data Scientist, Attribution</t>
  </si>
  <si>
    <t>Senior Data Scientist (Sleep)</t>
  </si>
  <si>
    <t>WHOOP</t>
  </si>
  <si>
    <t>Northeastern University</t>
  </si>
  <si>
    <t>Data Scientist, Natural Language Interfaces</t>
  </si>
  <si>
    <t>Klaviyo</t>
  </si>
  <si>
    <t>Plymouth Rock Assurance</t>
  </si>
  <si>
    <t>John Hancock</t>
  </si>
  <si>
    <t>Sr. Marketing Data Scientist</t>
  </si>
  <si>
    <t>SimpliSafe</t>
  </si>
  <si>
    <t>Computational Physicist/Data Scientist</t>
  </si>
  <si>
    <t>Physical Sciences Inc.</t>
  </si>
  <si>
    <t>Keystone Strategy</t>
  </si>
  <si>
    <t>Archetype</t>
  </si>
  <si>
    <t>Research &amp; Development Engineer Co-op (Associate Scientist)</t>
  </si>
  <si>
    <t>Senior Data Scientist, AI and Computational Chemistry</t>
  </si>
  <si>
    <t>MilliporeSigma</t>
  </si>
  <si>
    <t>Burlington</t>
  </si>
  <si>
    <t>2024 Co-Op, Data Science and Artificial Intelligence</t>
  </si>
  <si>
    <t>Moderna</t>
  </si>
  <si>
    <t>Cambridge</t>
  </si>
  <si>
    <t>DeepHealth</t>
  </si>
  <si>
    <t>Behavioral Data Scientist</t>
  </si>
  <si>
    <t>Cambridge Mobile Telematics</t>
  </si>
  <si>
    <t>Supply Chain Data Analytics Specialist</t>
  </si>
  <si>
    <t>Johnson &amp; Johnson</t>
  </si>
  <si>
    <t>Danvers</t>
  </si>
  <si>
    <t>Supply Chain Data Scientist</t>
  </si>
  <si>
    <t>TJX Companies</t>
  </si>
  <si>
    <t>Marlborough</t>
  </si>
  <si>
    <t>Visualization/Data Scientist</t>
  </si>
  <si>
    <t>Vita Data Sciences</t>
  </si>
  <si>
    <t>Waltham</t>
  </si>
  <si>
    <t>USA-Data Scientist II (Clinical)</t>
  </si>
  <si>
    <t>SS&amp;C</t>
  </si>
  <si>
    <t>Data Scientist, EDA</t>
  </si>
  <si>
    <t>Azurity Pharmaceuticals</t>
  </si>
  <si>
    <t>Woburn</t>
  </si>
  <si>
    <t>Worcester</t>
  </si>
  <si>
    <t>Data Scientist III</t>
  </si>
  <si>
    <t>BTS Software Solutions</t>
  </si>
  <si>
    <t>Annapolis Junction</t>
  </si>
  <si>
    <t>MD</t>
  </si>
  <si>
    <t>BrainTrust</t>
  </si>
  <si>
    <t>Data Scientist (Multiple Levels)</t>
  </si>
  <si>
    <t>Red Alpha LLC</t>
  </si>
  <si>
    <t>Data Scientist - Level 1</t>
  </si>
  <si>
    <t>OPS Consulting, LLC</t>
  </si>
  <si>
    <t>Bytoa</t>
  </si>
  <si>
    <t>Postdoctoral Fellow/Research Associate/Data Scientist in Cancer Epidemiology Research</t>
  </si>
  <si>
    <t>University of Maryland, Baltimore</t>
  </si>
  <si>
    <t>Baltimore</t>
  </si>
  <si>
    <t>Marriott International, Inc</t>
  </si>
  <si>
    <t>Bethesda</t>
  </si>
  <si>
    <t>Hilabs</t>
  </si>
  <si>
    <t>Operations Research Data Scientist</t>
  </si>
  <si>
    <t>Integration Innovation, Inc.</t>
  </si>
  <si>
    <t>California</t>
  </si>
  <si>
    <t>Data Scientist (Faculty Assistant, Post-Doctoral Associate, or Assistant Research Scholar</t>
  </si>
  <si>
    <t>University of Maryland</t>
  </si>
  <si>
    <t>College Park</t>
  </si>
  <si>
    <t>Booz Allen Hamilton</t>
  </si>
  <si>
    <t>Columbia</t>
  </si>
  <si>
    <t>eureka strategic consulting</t>
  </si>
  <si>
    <t>Data Scientist, Senior (DS3)</t>
  </si>
  <si>
    <t>Peraton</t>
  </si>
  <si>
    <t>Fort Meade</t>
  </si>
  <si>
    <t>Jr. ORSA / Data Scientist</t>
  </si>
  <si>
    <t>Fuse Engineering LLC</t>
  </si>
  <si>
    <t>National Security Agency</t>
  </si>
  <si>
    <t>Data Scientist - Associate - Secret Clearance!</t>
  </si>
  <si>
    <t>AMERICAN SYSTEMS</t>
  </si>
  <si>
    <t>US Department of the Air Force - Agency Wide</t>
  </si>
  <si>
    <t>Fort Washington</t>
  </si>
  <si>
    <t>Scientist I</t>
  </si>
  <si>
    <t>GeneDx</t>
  </si>
  <si>
    <t>Gaithersburg</t>
  </si>
  <si>
    <t>Data Scientist/Database Administrator</t>
  </si>
  <si>
    <t>Eccalon LLC</t>
  </si>
  <si>
    <t>Hanover</t>
  </si>
  <si>
    <t>MS Healthcare Data Scientist - Analytics</t>
  </si>
  <si>
    <t>University of Maryland Medical System</t>
  </si>
  <si>
    <t>Linthicum Heights</t>
  </si>
  <si>
    <t>Data Scientist/Developer</t>
  </si>
  <si>
    <t>Caelum Research Corporation</t>
  </si>
  <si>
    <t>Rockville</t>
  </si>
  <si>
    <t>Axle Informatics</t>
  </si>
  <si>
    <t>Data Scientist Trainee</t>
  </si>
  <si>
    <t>Radiance Technologies</t>
  </si>
  <si>
    <t>Suitland</t>
  </si>
  <si>
    <t>Parsons</t>
  </si>
  <si>
    <t>Rite Pros</t>
  </si>
  <si>
    <t>Portland</t>
  </si>
  <si>
    <t>ME</t>
  </si>
  <si>
    <t>Stellantis</t>
  </si>
  <si>
    <t>Auburn Hills</t>
  </si>
  <si>
    <t>MI</t>
  </si>
  <si>
    <t>Kellogg Company</t>
  </si>
  <si>
    <t>Battle Creek</t>
  </si>
  <si>
    <t>Analytics Scientist</t>
  </si>
  <si>
    <t>Ford Motor Company</t>
  </si>
  <si>
    <t>Dearborn</t>
  </si>
  <si>
    <t>Data Scientist, Model e Customer Business Systems</t>
  </si>
  <si>
    <t>Detroit</t>
  </si>
  <si>
    <t>Health Alliance Plan</t>
  </si>
  <si>
    <t>DTE Energy</t>
  </si>
  <si>
    <t>Junior Data Scientist (Co-op)</t>
  </si>
  <si>
    <t>Gentherm</t>
  </si>
  <si>
    <t>Farmington Hills</t>
  </si>
  <si>
    <t>Auto-Owners Insurance</t>
  </si>
  <si>
    <t>Lansing</t>
  </si>
  <si>
    <t>Soothsayer Analytics</t>
  </si>
  <si>
    <t>Livonia</t>
  </si>
  <si>
    <t>Data Science</t>
  </si>
  <si>
    <t>Globalmax Solutions</t>
  </si>
  <si>
    <t>Rochester</t>
  </si>
  <si>
    <t>Hearst Media Services</t>
  </si>
  <si>
    <t>Troy</t>
  </si>
  <si>
    <t>Data Scientist/Senior Data Scientist</t>
  </si>
  <si>
    <t>Federal Reserve Bank of Minneapolis</t>
  </si>
  <si>
    <t>Minneapolis</t>
  </si>
  <si>
    <t>MN</t>
  </si>
  <si>
    <t>Erstom</t>
  </si>
  <si>
    <t>Huntington Bank</t>
  </si>
  <si>
    <t>Plymouth</t>
  </si>
  <si>
    <t>Data Scientist - Generative AI</t>
  </si>
  <si>
    <t>Mayo Clinic</t>
  </si>
  <si>
    <t>Data Scientist II- Outcomes</t>
  </si>
  <si>
    <t>Gillette Children's</t>
  </si>
  <si>
    <t>Saint Paul</t>
  </si>
  <si>
    <t>Chief Data Scientist</t>
  </si>
  <si>
    <t>HR, Legal, &amp; Administration</t>
  </si>
  <si>
    <t>Sartell</t>
  </si>
  <si>
    <t>Senior Data Scientist - Research (Remote)</t>
  </si>
  <si>
    <t>Mercy</t>
  </si>
  <si>
    <t>Chesterfield</t>
  </si>
  <si>
    <t>MO</t>
  </si>
  <si>
    <t>Maritz Inc.</t>
  </si>
  <si>
    <t>Fenton</t>
  </si>
  <si>
    <t>bioMerieux SA</t>
  </si>
  <si>
    <t>Hazelwood</t>
  </si>
  <si>
    <t>BOEING</t>
  </si>
  <si>
    <t>Americo</t>
  </si>
  <si>
    <t>Kansas City</t>
  </si>
  <si>
    <t>1904labs</t>
  </si>
  <si>
    <t>Saint Louis</t>
  </si>
  <si>
    <t>Federal Reserve Bank of St. Louis</t>
  </si>
  <si>
    <t>Camgian</t>
  </si>
  <si>
    <t>Starkville</t>
  </si>
  <si>
    <t>MS</t>
  </si>
  <si>
    <t>Ecosystem Planning and Restoration, LLC</t>
  </si>
  <si>
    <t>Cary</t>
  </si>
  <si>
    <t>NC</t>
  </si>
  <si>
    <t>Helix Tech IT solution</t>
  </si>
  <si>
    <t>Chapel Hill</t>
  </si>
  <si>
    <t>Bioinformatics Data Scientist</t>
  </si>
  <si>
    <t>University of North Carolina at Chapel Hill</t>
  </si>
  <si>
    <t>AVP Data Scientist</t>
  </si>
  <si>
    <t>Moody's</t>
  </si>
  <si>
    <t>Charlotte</t>
  </si>
  <si>
    <t>Ally Financial</t>
  </si>
  <si>
    <t>Lowe's</t>
  </si>
  <si>
    <t>Data Scientist Advanced Development Program</t>
  </si>
  <si>
    <t>Vanguard</t>
  </si>
  <si>
    <t>Data Scientist II</t>
  </si>
  <si>
    <t>Lincoln Financial</t>
  </si>
  <si>
    <t>Principal CoE Data Scientist</t>
  </si>
  <si>
    <t>GSK</t>
  </si>
  <si>
    <t>Durham</t>
  </si>
  <si>
    <t>Blue Cross and Blue Shield of North Carolina</t>
  </si>
  <si>
    <t>ViiV Healthcare (GSK) US Data Scientist</t>
  </si>
  <si>
    <t>Hyperspace Ventures</t>
  </si>
  <si>
    <t>Data Analyst Associate</t>
  </si>
  <si>
    <t>Greensboro</t>
  </si>
  <si>
    <t>Spalding Consulting, Inc.</t>
  </si>
  <si>
    <t>Havelock</t>
  </si>
  <si>
    <t>Abrigo</t>
  </si>
  <si>
    <t>Raleigh</t>
  </si>
  <si>
    <t>Senior Data Scientist I</t>
  </si>
  <si>
    <t>RELX</t>
  </si>
  <si>
    <t>Aspire Program, Early Career -Data Scientist I</t>
  </si>
  <si>
    <t>Applied Engineering, Inc</t>
  </si>
  <si>
    <t>Fargo</t>
  </si>
  <si>
    <t>ND</t>
  </si>
  <si>
    <t>Sandhills Global, Inc.</t>
  </si>
  <si>
    <t>Lincoln</t>
  </si>
  <si>
    <t>NE</t>
  </si>
  <si>
    <t>Fiserv, Inc.</t>
  </si>
  <si>
    <t>MATERNAL AND CHILD HEALTH DATA SCIENTIST/EPIDEMIOLOGIST</t>
  </si>
  <si>
    <t>The State of New Hampshire</t>
  </si>
  <si>
    <t>Concord</t>
  </si>
  <si>
    <t>NH</t>
  </si>
  <si>
    <t>Data Scientist/Salesforce Administrator</t>
  </si>
  <si>
    <t>L.E.A.D Inc.- Law Enforcement Against Drugs</t>
  </si>
  <si>
    <t>Allentown</t>
  </si>
  <si>
    <t>NJ</t>
  </si>
  <si>
    <t>Verizon</t>
  </si>
  <si>
    <t>Basking Ridge</t>
  </si>
  <si>
    <t>Camden Coalition of Healthcare</t>
  </si>
  <si>
    <t>Camden</t>
  </si>
  <si>
    <t>Extreme Data Technologies</t>
  </si>
  <si>
    <t>East Orange</t>
  </si>
  <si>
    <t>Burlington Stores</t>
  </si>
  <si>
    <t>Edgewater Park</t>
  </si>
  <si>
    <t>Data Scientist, Analytics &amp; Insights</t>
  </si>
  <si>
    <t>LG Electronics U.S.</t>
  </si>
  <si>
    <t>Englewood Cliffs</t>
  </si>
  <si>
    <t>Jr Data Scientist</t>
  </si>
  <si>
    <t>Veracity Software</t>
  </si>
  <si>
    <t>Iselin</t>
  </si>
  <si>
    <t>Verdant Infotech Solutions</t>
  </si>
  <si>
    <t>Jersey City</t>
  </si>
  <si>
    <t>Lead Data Scientist - Engagement &amp; Customer Experience Analytics - Corporate Investment Banking</t>
  </si>
  <si>
    <t>JPMorgan Chase &amp; Co</t>
  </si>
  <si>
    <t>Horizon Blue Cross Blue Shield of New Jersey</t>
  </si>
  <si>
    <t>Data Scientist, Data-Driven Marketing</t>
  </si>
  <si>
    <t>Mars</t>
  </si>
  <si>
    <t>Colgate-Palmolive</t>
  </si>
  <si>
    <t>Piscataway</t>
  </si>
  <si>
    <t>Clinical Data Scientist</t>
  </si>
  <si>
    <t>Otsuka</t>
  </si>
  <si>
    <t>Princeton</t>
  </si>
  <si>
    <t>(Senior) Scientist, Clinical Development Data Science</t>
  </si>
  <si>
    <t>Genmab</t>
  </si>
  <si>
    <t>Data Scientist Position</t>
  </si>
  <si>
    <t>Princeton University</t>
  </si>
  <si>
    <t>Dataline</t>
  </si>
  <si>
    <t>Merck Sharp &amp; Dohme</t>
  </si>
  <si>
    <t>Rahway</t>
  </si>
  <si>
    <t>Data Scientist - SQL / SAS &amp; Tableau</t>
  </si>
  <si>
    <t>AmeriHealth Caritas</t>
  </si>
  <si>
    <t>Robbinsville</t>
  </si>
  <si>
    <t>TRA'BIAN ENTERPRISES</t>
  </si>
  <si>
    <t>Secaucus</t>
  </si>
  <si>
    <t>Titusville</t>
  </si>
  <si>
    <t>Market Data Analyst</t>
  </si>
  <si>
    <t>S4 Market Data</t>
  </si>
  <si>
    <t>Trenton</t>
  </si>
  <si>
    <t>Data Scientist 1</t>
  </si>
  <si>
    <t>University of New Mexico</t>
  </si>
  <si>
    <t>Albuquerque</t>
  </si>
  <si>
    <t>NM</t>
  </si>
  <si>
    <t>Western New Mexico University</t>
  </si>
  <si>
    <t>Silver City</t>
  </si>
  <si>
    <t>ADM Associates</t>
  </si>
  <si>
    <t>Reno</t>
  </si>
  <si>
    <t>NV</t>
  </si>
  <si>
    <t>Senior Data Scientist, Seller Experience</t>
  </si>
  <si>
    <t>Etsy</t>
  </si>
  <si>
    <t>Brooklyn</t>
  </si>
  <si>
    <t>NY</t>
  </si>
  <si>
    <t>Data Scientist - Hybrid Opportunity</t>
  </si>
  <si>
    <t>Mediacom Communications Corporation</t>
  </si>
  <si>
    <t>Chester</t>
  </si>
  <si>
    <t>Data Scientist, Dependency Planning</t>
  </si>
  <si>
    <t>Asana</t>
  </si>
  <si>
    <t>New York</t>
  </si>
  <si>
    <t>withco</t>
  </si>
  <si>
    <t>Senior Data Scientist (Product Analytics)</t>
  </si>
  <si>
    <t>Cedar Inc</t>
  </si>
  <si>
    <t>Senior Data Scientist | Product</t>
  </si>
  <si>
    <t>Ramp Financial</t>
  </si>
  <si>
    <t>Senior Data Scientist - NYC</t>
  </si>
  <si>
    <t>Rokt</t>
  </si>
  <si>
    <t>Director/TL, Data Science - Biopharma</t>
  </si>
  <si>
    <t>Pfizer</t>
  </si>
  <si>
    <t>Neuberger Berman</t>
  </si>
  <si>
    <t>AllocateRite</t>
  </si>
  <si>
    <t>Octaura</t>
  </si>
  <si>
    <t>Chapter</t>
  </si>
  <si>
    <t>Conde Nast</t>
  </si>
  <si>
    <t>Inclusively</t>
  </si>
  <si>
    <t>Barclays</t>
  </si>
  <si>
    <t>Sr Data Scientist (Innovation Lab)</t>
  </si>
  <si>
    <t>Consumer Reports</t>
  </si>
  <si>
    <t>Flow</t>
  </si>
  <si>
    <t>Global Technology Transformation Analytics Vice President</t>
  </si>
  <si>
    <t>Data Scientist, Clinical Analytics</t>
  </si>
  <si>
    <t>Spring Health</t>
  </si>
  <si>
    <t>The Associated Press</t>
  </si>
  <si>
    <t>Data Scientist, Analytics - Ads</t>
  </si>
  <si>
    <t>Quizlet</t>
  </si>
  <si>
    <t>Senior Data Scientist, Experimentation</t>
  </si>
  <si>
    <t>PayPal</t>
  </si>
  <si>
    <t>New York City Housing Development Corporation (HDC)</t>
  </si>
  <si>
    <t>New York City Council</t>
  </si>
  <si>
    <t>Product Data Scientist</t>
  </si>
  <si>
    <t>Data Science Analyst I-Personalized Medicine</t>
  </si>
  <si>
    <t>Mount Sinai</t>
  </si>
  <si>
    <t>Publicis Media</t>
  </si>
  <si>
    <t>Junior Consultant in Strategy &amp; Data Science - New York</t>
  </si>
  <si>
    <t>Ekimetrics</t>
  </si>
  <si>
    <t>University of Rochester</t>
  </si>
  <si>
    <t>Data Scientist, Data Product</t>
  </si>
  <si>
    <t>Syracuse University</t>
  </si>
  <si>
    <t>Syracuse</t>
  </si>
  <si>
    <t>IT Data Scientist I-IV</t>
  </si>
  <si>
    <t>Medical Mutual of Ohio</t>
  </si>
  <si>
    <t>OH</t>
  </si>
  <si>
    <t>Sleep Medicine Scientist</t>
  </si>
  <si>
    <t>Cleveland Clinic</t>
  </si>
  <si>
    <t>Cleveland</t>
  </si>
  <si>
    <t>Data Scientist/Modeler II</t>
  </si>
  <si>
    <t>Columbus</t>
  </si>
  <si>
    <t>Data Scientist III (hybrid/remote)</t>
  </si>
  <si>
    <t>Grange Insurance Company</t>
  </si>
  <si>
    <t>Edaptive Computing, Inc.</t>
  </si>
  <si>
    <t>Dayton</t>
  </si>
  <si>
    <t>Ignite Fueling Innovation</t>
  </si>
  <si>
    <t>Research &amp; Development Engineer (Associate Scientist) - Full Time Campus</t>
  </si>
  <si>
    <t>Mason</t>
  </si>
  <si>
    <t>Research and Development Engineer - Co-op - Engineer or Scientist</t>
  </si>
  <si>
    <t>CSafe Global</t>
  </si>
  <si>
    <t>Monroe</t>
  </si>
  <si>
    <t>Nike</t>
  </si>
  <si>
    <t>Beaverton</t>
  </si>
  <si>
    <t>OR</t>
  </si>
  <si>
    <t>Principal Data Scientist, Professional Services</t>
  </si>
  <si>
    <t>Amazon Web Services, Inc.</t>
  </si>
  <si>
    <t>Research Data Science, Future Leaders Graduate Program, US, 2024</t>
  </si>
  <si>
    <t>Collegeville</t>
  </si>
  <si>
    <t>PA</t>
  </si>
  <si>
    <t>INTERDIGITAL COMM CORP</t>
  </si>
  <si>
    <t>Conshohocken</t>
  </si>
  <si>
    <t>IT Consulting Services</t>
  </si>
  <si>
    <t>Fairless Hills</t>
  </si>
  <si>
    <t>Data Analytics Manager</t>
  </si>
  <si>
    <t>WebstaurantStore</t>
  </si>
  <si>
    <t>Lititz</t>
  </si>
  <si>
    <t>Philadelphia</t>
  </si>
  <si>
    <t>Comcast</t>
  </si>
  <si>
    <t>TechCoreGlobal</t>
  </si>
  <si>
    <t>Mayvue</t>
  </si>
  <si>
    <t>Pittsburgh</t>
  </si>
  <si>
    <t>UPMC</t>
  </si>
  <si>
    <t>Bioninformatic Scientist</t>
  </si>
  <si>
    <t>The University of Pittsburgh</t>
  </si>
  <si>
    <t>QVC</t>
  </si>
  <si>
    <t>West Chester</t>
  </si>
  <si>
    <t>Principal Data Scientist, Applied AI</t>
  </si>
  <si>
    <t>Movable Ink</t>
  </si>
  <si>
    <t>Remote</t>
  </si>
  <si>
    <t>Staff Data Scientist - Search</t>
  </si>
  <si>
    <t>Faire</t>
  </si>
  <si>
    <t>SentiLink</t>
  </si>
  <si>
    <t>Senior Data Scientist - Shipping Optimization</t>
  </si>
  <si>
    <t>Senior Data Scientist - Growth &amp; Lifecycle</t>
  </si>
  <si>
    <t>Fabrx Space</t>
  </si>
  <si>
    <t>SoftDev Incorporated</t>
  </si>
  <si>
    <t>Director, Data Scientist - Biopharma</t>
  </si>
  <si>
    <t>AKASA</t>
  </si>
  <si>
    <t>Health Advocate</t>
  </si>
  <si>
    <t>Coinbase</t>
  </si>
  <si>
    <t>PUTNAM RECRUITING GROUP</t>
  </si>
  <si>
    <t>Data Scientist (C)</t>
  </si>
  <si>
    <t>IVID TEK INC</t>
  </si>
  <si>
    <t>Senior Data Scientist, Operations</t>
  </si>
  <si>
    <t>Coalition</t>
  </si>
  <si>
    <t>Senior R&amp;D Data Scientist</t>
  </si>
  <si>
    <t>RS21 Careers</t>
  </si>
  <si>
    <t>Ai Vantage</t>
  </si>
  <si>
    <t>Revenue Data Scientist - Industry Solutions</t>
  </si>
  <si>
    <t>Houzz</t>
  </si>
  <si>
    <t>Ryden Global LLC</t>
  </si>
  <si>
    <t>WEX Inc.</t>
  </si>
  <si>
    <t>Senior Data Scientist , Search and Personalization (14498) - United States (Remote)</t>
  </si>
  <si>
    <t>Getty Images</t>
  </si>
  <si>
    <t>Senior Data Scientist (Remote)</t>
  </si>
  <si>
    <t>Quora</t>
  </si>
  <si>
    <t>Sr. Manager, Data Scientist - Biopharma</t>
  </si>
  <si>
    <t>Brainwave360</t>
  </si>
  <si>
    <t>Nexlogica</t>
  </si>
  <si>
    <t>Zartico, Inc.</t>
  </si>
  <si>
    <t>Konnectingtree</t>
  </si>
  <si>
    <t>Syneos Health Clinical</t>
  </si>
  <si>
    <t>Sr. Geospatial Data Scientist</t>
  </si>
  <si>
    <t>Government Tactical Solutions</t>
  </si>
  <si>
    <t>Data Scientist(RNAseq,Genomics,Omnics,Machine Learning,data analysis)</t>
  </si>
  <si>
    <t>Tellus Solutions</t>
  </si>
  <si>
    <t>Data Scientist (Omics data analysis (genetics, genomics and proteomics))</t>
  </si>
  <si>
    <t>Evolve Vacation Rentals</t>
  </si>
  <si>
    <t>Sr. Data Engineer (Remote)</t>
  </si>
  <si>
    <t>CrowdStrike</t>
  </si>
  <si>
    <t>Kaizen Analytix</t>
  </si>
  <si>
    <t>Zendesk</t>
  </si>
  <si>
    <t>Fulcrum Analytics</t>
  </si>
  <si>
    <t>Data Scientist Level III</t>
  </si>
  <si>
    <t>Arch Systems, LLC</t>
  </si>
  <si>
    <t>Data Scientist/Architect/Modeler</t>
  </si>
  <si>
    <t>ECS Federal</t>
  </si>
  <si>
    <t>Data Scientist, NLP</t>
  </si>
  <si>
    <t>Evolent Health</t>
  </si>
  <si>
    <t>Interconnection Data Scientist</t>
  </si>
  <si>
    <t>Principal - Artificial intelligence (AI)&amp; ML- Data Scientist - USC &amp; GC</t>
  </si>
  <si>
    <t>Source Mantra</t>
  </si>
  <si>
    <t>Data Scientist Specialist</t>
  </si>
  <si>
    <t>Database Administrator</t>
  </si>
  <si>
    <t>Covenant Eyes</t>
  </si>
  <si>
    <t>Remote - Data Scientist</t>
  </si>
  <si>
    <t>Green Dot Corporation</t>
  </si>
  <si>
    <t>RB Consulting Inc.</t>
  </si>
  <si>
    <t>ClassLink, Inc.</t>
  </si>
  <si>
    <t>Senior Data Scientist - Applied AI</t>
  </si>
  <si>
    <t>Zynga</t>
  </si>
  <si>
    <t>Ancestry</t>
  </si>
  <si>
    <t>AppsIntegration.Inc</t>
  </si>
  <si>
    <t>Innovation - Data Scientist</t>
  </si>
  <si>
    <t>RSM US LLP</t>
  </si>
  <si>
    <t>Tech brothers infoservices</t>
  </si>
  <si>
    <t>DonorSearch</t>
  </si>
  <si>
    <t>Data Science Mentor</t>
  </si>
  <si>
    <t>Chegg</t>
  </si>
  <si>
    <t>Data Specialist</t>
  </si>
  <si>
    <t>Juristat</t>
  </si>
  <si>
    <t>Q2A Media Services Pvt Ltd</t>
  </si>
  <si>
    <t>Smithfield</t>
  </si>
  <si>
    <t>RI</t>
  </si>
  <si>
    <t>Fidelity Investments</t>
  </si>
  <si>
    <t>Oak Ridge National Laboratory</t>
  </si>
  <si>
    <t>Oak Ridge</t>
  </si>
  <si>
    <t>TN</t>
  </si>
  <si>
    <t>Distinguished Data Scientist</t>
  </si>
  <si>
    <t>Torc Robotics</t>
  </si>
  <si>
    <t>Austin</t>
  </si>
  <si>
    <t>TX</t>
  </si>
  <si>
    <t>Lead Data Scientist, Economy</t>
  </si>
  <si>
    <t>Electronic Arts</t>
  </si>
  <si>
    <t>Senior Data Scientist, Professional Services</t>
  </si>
  <si>
    <t>Realtor.com Careers</t>
  </si>
  <si>
    <t>Data Scientist, New Product Introduction</t>
  </si>
  <si>
    <t>Data Scientist, Product Engagement</t>
  </si>
  <si>
    <t>Signature Science, LLC</t>
  </si>
  <si>
    <t>Wise Equation Solutions</t>
  </si>
  <si>
    <t>Pattern Bioscience</t>
  </si>
  <si>
    <t>Iodine Software, LLC</t>
  </si>
  <si>
    <t>Data Scientist / AI Specialist</t>
  </si>
  <si>
    <t>Macmillan Learning</t>
  </si>
  <si>
    <t>J80 CINTRA US SERVICES LLC</t>
  </si>
  <si>
    <t>Ferrovial external</t>
  </si>
  <si>
    <t>Entry Level Data Science - December 2023 and May 2024 Grads</t>
  </si>
  <si>
    <t>NXP Semiconductors</t>
  </si>
  <si>
    <t>Data Scientist Co-op - Masters Degree</t>
  </si>
  <si>
    <t>Pinnacle Soft Solutions</t>
  </si>
  <si>
    <t>Cedar Park</t>
  </si>
  <si>
    <t>AT&amp;T</t>
  </si>
  <si>
    <t>Dallas</t>
  </si>
  <si>
    <t>Talent Group</t>
  </si>
  <si>
    <t>Children's Health</t>
  </si>
  <si>
    <t>MedeAnalytics</t>
  </si>
  <si>
    <t>Data Architect / Data Scientist</t>
  </si>
  <si>
    <t>Mary Kay Inc</t>
  </si>
  <si>
    <t>Federal Reserve Bank of Dallas</t>
  </si>
  <si>
    <t>EVRY India</t>
  </si>
  <si>
    <t>Career Consulting Data Scientist - National - College Program 2024</t>
  </si>
  <si>
    <t>Mercer</t>
  </si>
  <si>
    <t>Data Scientist I, Bioinformatics</t>
  </si>
  <si>
    <t>UT Southwestern</t>
  </si>
  <si>
    <t>Data Scientist Engineering Modeler</t>
  </si>
  <si>
    <t>Houston</t>
  </si>
  <si>
    <t>VIE - Strategic Operations Data Scientist - USA</t>
  </si>
  <si>
    <t>DATA ENGINEER</t>
  </si>
  <si>
    <t>Shell Energy Solutions</t>
  </si>
  <si>
    <t>Chirality Research</t>
  </si>
  <si>
    <t>Data Scientist/Software Developer</t>
  </si>
  <si>
    <t>Petrabytes Corporation</t>
  </si>
  <si>
    <t>LA Fitness</t>
  </si>
  <si>
    <t>Irving</t>
  </si>
  <si>
    <t>Michaels Stores, Inc.</t>
  </si>
  <si>
    <t>Digital Customer – Machine Learning &amp; Data Lab – Stage</t>
  </si>
  <si>
    <t>Wavestone</t>
  </si>
  <si>
    <t>Paris</t>
  </si>
  <si>
    <t>Applied Artificial Intelligence Machine Learning - Sr Associate</t>
  </si>
  <si>
    <t>Plano</t>
  </si>
  <si>
    <t>wiselinkglobal</t>
  </si>
  <si>
    <t>Software Bloc</t>
  </si>
  <si>
    <t>GEN AI data scientist / Architect ( Onsite)</t>
  </si>
  <si>
    <t>Cognizant Technology Solutions</t>
  </si>
  <si>
    <t>DATA SCIENTIST III</t>
  </si>
  <si>
    <t>Frost Bank</t>
  </si>
  <si>
    <t>San Antonio</t>
  </si>
  <si>
    <t>Alpha Facilities Solutions</t>
  </si>
  <si>
    <t>LinQuest Corporation</t>
  </si>
  <si>
    <t>University Health</t>
  </si>
  <si>
    <t>Cal-Tex Protective Coatings, Inc.</t>
  </si>
  <si>
    <t>Schertz</t>
  </si>
  <si>
    <t>HP</t>
  </si>
  <si>
    <t>Spring</t>
  </si>
  <si>
    <t>Entry Level Data Scientist 2023/2024</t>
  </si>
  <si>
    <t>CPChem</t>
  </si>
  <si>
    <t>The Woodlands</t>
  </si>
  <si>
    <t>Westlake</t>
  </si>
  <si>
    <t>NYC Careers</t>
  </si>
  <si>
    <t>Manhattan</t>
  </si>
  <si>
    <t>Senior Associate, Data Scientist</t>
  </si>
  <si>
    <t>New York Life Insurance Co</t>
  </si>
  <si>
    <t>New York State</t>
  </si>
  <si>
    <t>High Tech High</t>
  </si>
  <si>
    <t>Point Loma</t>
  </si>
  <si>
    <t>Senior Data Scientist, Growth</t>
  </si>
  <si>
    <t>Grammarly, Inc.</t>
  </si>
  <si>
    <t>Principal Data Scientist, Delivery Technology</t>
  </si>
  <si>
    <t>Gopuff</t>
  </si>
  <si>
    <t>Rocket Software</t>
  </si>
  <si>
    <t>McAfee, LLC</t>
  </si>
  <si>
    <t>Sr Data Eng</t>
  </si>
  <si>
    <t>Bayer</t>
  </si>
  <si>
    <t>Morrison &amp; Foerster</t>
  </si>
  <si>
    <t>Public Consulting Group</t>
  </si>
  <si>
    <t>GEHA</t>
  </si>
  <si>
    <t>Data Scientist / Statistician</t>
  </si>
  <si>
    <t>BeVera Solutions LLC</t>
  </si>
  <si>
    <t>LiveView Technologies</t>
  </si>
  <si>
    <t>American Fork</t>
  </si>
  <si>
    <t>UT</t>
  </si>
  <si>
    <t>The JAAW Group</t>
  </si>
  <si>
    <t>Cottonwood Heights</t>
  </si>
  <si>
    <t>Senior Data Scientist, AIML, GenAI, NLP, CV</t>
  </si>
  <si>
    <t>Lehi</t>
  </si>
  <si>
    <t>Pattern</t>
  </si>
  <si>
    <t>Podium</t>
  </si>
  <si>
    <t>General Engineer - Data Scientist/Statistician/Mathematician/Methodologist/Computer Scientist</t>
  </si>
  <si>
    <t>US Veterans Health Administration</t>
  </si>
  <si>
    <t>Salt Lake City</t>
  </si>
  <si>
    <t>CloudBerg Tec</t>
  </si>
  <si>
    <t>Bonneville Communications</t>
  </si>
  <si>
    <t>Data Engineer, Python</t>
  </si>
  <si>
    <t>Breeze Airways™</t>
  </si>
  <si>
    <t>Zartico</t>
  </si>
  <si>
    <t>Changeis</t>
  </si>
  <si>
    <t>Arlington</t>
  </si>
  <si>
    <t>VA</t>
  </si>
  <si>
    <t>Senior Product Manager</t>
  </si>
  <si>
    <t>US Cybersecurity and Infrastructure Security Agency</t>
  </si>
  <si>
    <t>Ecological Modeler/Biodiversity Data Scientist (Remote)</t>
  </si>
  <si>
    <t>NatureServe</t>
  </si>
  <si>
    <t>Ashburn</t>
  </si>
  <si>
    <t>Data Scientist Jr. / Physical Scientist Jr.</t>
  </si>
  <si>
    <t>Na Oiwi Kane</t>
  </si>
  <si>
    <t>Bowling Green</t>
  </si>
  <si>
    <t>Tecolote Research, Inc.</t>
  </si>
  <si>
    <t>Chantilly</t>
  </si>
  <si>
    <t>Data Scientist - Senior</t>
  </si>
  <si>
    <t>The Swift Group</t>
  </si>
  <si>
    <t>Axiologic Solutions</t>
  </si>
  <si>
    <t>Cleared Data Scientist (All Levels)</t>
  </si>
  <si>
    <t>Noblis</t>
  </si>
  <si>
    <t>Assertive Professionals</t>
  </si>
  <si>
    <t>Charlottesville</t>
  </si>
  <si>
    <t>PearlX</t>
  </si>
  <si>
    <t>Dollar Tree</t>
  </si>
  <si>
    <t>Chesapeake</t>
  </si>
  <si>
    <t>Nationwide IT Services, Inc</t>
  </si>
  <si>
    <t>Fairfax</t>
  </si>
  <si>
    <t>IntelliDyne</t>
  </si>
  <si>
    <t>Falls Church</t>
  </si>
  <si>
    <t>ADVANCED MANAGEMENT STRATEGIES GROUP(AMSG)</t>
  </si>
  <si>
    <t>Fort Eustis</t>
  </si>
  <si>
    <t>People, Technology &amp; Processes</t>
  </si>
  <si>
    <t>BTAS</t>
  </si>
  <si>
    <t>Hampton</t>
  </si>
  <si>
    <t>HawkEye360</t>
  </si>
  <si>
    <t>Herndon</t>
  </si>
  <si>
    <t>Cognowiz</t>
  </si>
  <si>
    <t>Data Scientist/Developer for Big Data/Machine Learning R&amp;D</t>
  </si>
  <si>
    <t>D-Tech</t>
  </si>
  <si>
    <t>Arcfield</t>
  </si>
  <si>
    <t>Cognowiz solutions LLC</t>
  </si>
  <si>
    <t>Quantitative Analytics Tech Lead - Data Scientist (Hybrid - 3 Days in Office)</t>
  </si>
  <si>
    <t>Freddie Mac</t>
  </si>
  <si>
    <t>McLean</t>
  </si>
  <si>
    <t>Data Scientist - Python - AI/ML</t>
  </si>
  <si>
    <t>BAE Systems</t>
  </si>
  <si>
    <t>Data Engineer / Data Scientist</t>
  </si>
  <si>
    <t>Cyberhill Partners LLC</t>
  </si>
  <si>
    <t>Cognitio</t>
  </si>
  <si>
    <t>Orbis Operations, LLC</t>
  </si>
  <si>
    <t>JANUS Research Group</t>
  </si>
  <si>
    <t>Newport News</t>
  </si>
  <si>
    <t>Data Scientist Postdoc</t>
  </si>
  <si>
    <t>Jefferson Lab</t>
  </si>
  <si>
    <t>Old Dominion University</t>
  </si>
  <si>
    <t>Norfolk</t>
  </si>
  <si>
    <t>Data Scientist 4676</t>
  </si>
  <si>
    <t>MetroStar</t>
  </si>
  <si>
    <t>Quantico</t>
  </si>
  <si>
    <t>EpochGeo</t>
  </si>
  <si>
    <t>Reston</t>
  </si>
  <si>
    <t>Octo</t>
  </si>
  <si>
    <t>Aderas, Inc</t>
  </si>
  <si>
    <t>Data Analyst</t>
  </si>
  <si>
    <t>Altria</t>
  </si>
  <si>
    <t>Richmond</t>
  </si>
  <si>
    <t>Data Engineer/Data Scientist</t>
  </si>
  <si>
    <t>Ampcus Incorporated</t>
  </si>
  <si>
    <t>NewMarket Services Corporation</t>
  </si>
  <si>
    <t>Sr. Data Scientist, Pricing Algorithms - Remote within 100 miles of Office Location</t>
  </si>
  <si>
    <t>CarMax</t>
  </si>
  <si>
    <t>Statistician/Data Scientist - TS/SCI Required</t>
  </si>
  <si>
    <t>Integrated Intel Solutions</t>
  </si>
  <si>
    <t>Springfield</t>
  </si>
  <si>
    <t>Junior Data Scientist | TS/SCI</t>
  </si>
  <si>
    <t>Connect Talent Solutions</t>
  </si>
  <si>
    <t>Bellevue</t>
  </si>
  <si>
    <t>WA</t>
  </si>
  <si>
    <t>Machine Learning / Data Scientist</t>
  </si>
  <si>
    <t>Docugami</t>
  </si>
  <si>
    <t>Kirkland</t>
  </si>
  <si>
    <t>Data Scientist-II- Global Services</t>
  </si>
  <si>
    <t>f5</t>
  </si>
  <si>
    <t>Liberty Lake</t>
  </si>
  <si>
    <t>Microsoft</t>
  </si>
  <si>
    <t>Redmond</t>
  </si>
  <si>
    <t>Data Scientist 2</t>
  </si>
  <si>
    <t>Principal Data Scientist, Machine Learning</t>
  </si>
  <si>
    <t>Rec Room</t>
  </si>
  <si>
    <t>Seattle</t>
  </si>
  <si>
    <t>Data Scientist - Data Analytics</t>
  </si>
  <si>
    <t>Costco Wholesale</t>
  </si>
  <si>
    <t>Senior Machine Learning Engineer</t>
  </si>
  <si>
    <t>Senior Data Scientist, Machine Learning</t>
  </si>
  <si>
    <t>Remitly</t>
  </si>
  <si>
    <t>Block</t>
  </si>
  <si>
    <t>Multi-modal Representation Learning Scientist</t>
  </si>
  <si>
    <t>Novo Nordisk</t>
  </si>
  <si>
    <t>Conversica</t>
  </si>
  <si>
    <t>University of Washington</t>
  </si>
  <si>
    <t>Data Scientist (Data Platforms &amp; Applied Intelligence)</t>
  </si>
  <si>
    <t>Banfield, The Pet Hospital</t>
  </si>
  <si>
    <t>Vancouver</t>
  </si>
  <si>
    <t>Quality Systems Data Scientist (Hybrid or Remote)</t>
  </si>
  <si>
    <t>Schreiber Foods</t>
  </si>
  <si>
    <t>Green Bay</t>
  </si>
  <si>
    <t>WI</t>
  </si>
  <si>
    <t>Principal Data Scientist, Shopbop</t>
  </si>
  <si>
    <t>Bop LLC</t>
  </si>
  <si>
    <t>Madison</t>
  </si>
  <si>
    <t>Data Scientist II (Remote)</t>
  </si>
  <si>
    <t>KOHLS</t>
  </si>
  <si>
    <t>Menomonee Falls</t>
  </si>
  <si>
    <t>BRADY WORLDWIDE INC</t>
  </si>
  <si>
    <t>Milwaukee</t>
  </si>
  <si>
    <t>Research Data Analyst (Scientist)</t>
  </si>
  <si>
    <t>Medical College of Wisconsin</t>
  </si>
  <si>
    <t>Colony Brands, Inc.</t>
  </si>
  <si>
    <t>Supply Chain Consultant - Sr. Data Scientist</t>
  </si>
  <si>
    <t>Kimberly-Clark</t>
  </si>
  <si>
    <t>Neenah</t>
  </si>
  <si>
    <t>Job Title</t>
  </si>
  <si>
    <t>Job Rating</t>
  </si>
  <si>
    <t>Company</t>
  </si>
  <si>
    <t>City</t>
  </si>
  <si>
    <t>State</t>
  </si>
  <si>
    <t>Miniumum Salary</t>
  </si>
  <si>
    <t>Maximum Salary</t>
  </si>
  <si>
    <t>Requires SQL</t>
  </si>
  <si>
    <t>Requires Python</t>
  </si>
  <si>
    <t>Requires Tableau</t>
  </si>
  <si>
    <t>Requires Power BI</t>
  </si>
  <si>
    <t>On Site</t>
  </si>
  <si>
    <t>Row Labels</t>
  </si>
  <si>
    <t>Grand Total</t>
  </si>
  <si>
    <t>Average of Miniumum Salary</t>
  </si>
  <si>
    <t>Average of Maximum Salary</t>
  </si>
  <si>
    <t>Count of Job Title</t>
  </si>
  <si>
    <t>Average of Job Rating</t>
  </si>
  <si>
    <t>Average Salary</t>
  </si>
  <si>
    <t>On-Site</t>
  </si>
  <si>
    <t>Average of Average Salary</t>
  </si>
  <si>
    <t>Glassdoor Data Science Jobs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</si>
</sst>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quot;$&quot;#,##0"/>
    <numFmt numFmtId="170" formatCode="0.0"/>
  </numFmts>
  <fonts count="2" x14ac:knownFonts="1">
    <font>
      <sz val="11"/>
      <color theme="1"/>
      <name val="Aptos Narrow"/>
      <family val="2"/>
      <scheme val="minor"/>
    </font>
    <font>
      <b/>
      <sz val="48"/>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70" fontId="0" fillId="0" borderId="0" xfId="0" applyNumberFormat="1"/>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63">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Count</a:t>
            </a:r>
            <a:r>
              <a:rPr lang="en-US" baseline="0"/>
              <a:t> by State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PivotTables!$A$2:$A$21</c:f>
              <c:strCache>
                <c:ptCount val="19"/>
                <c:pt idx="0">
                  <c:v>VA</c:v>
                </c:pt>
                <c:pt idx="1">
                  <c:v>RI</c:v>
                </c:pt>
                <c:pt idx="2">
                  <c:v>CA</c:v>
                </c:pt>
                <c:pt idx="3">
                  <c:v>TX</c:v>
                </c:pt>
                <c:pt idx="4">
                  <c:v>Remote</c:v>
                </c:pt>
                <c:pt idx="5">
                  <c:v>FL</c:v>
                </c:pt>
                <c:pt idx="6">
                  <c:v>IL</c:v>
                </c:pt>
                <c:pt idx="7">
                  <c:v>DC</c:v>
                </c:pt>
                <c:pt idx="8">
                  <c:v>CO</c:v>
                </c:pt>
                <c:pt idx="9">
                  <c:v>PA</c:v>
                </c:pt>
                <c:pt idx="10">
                  <c:v>OH</c:v>
                </c:pt>
                <c:pt idx="11">
                  <c:v>IA</c:v>
                </c:pt>
                <c:pt idx="12">
                  <c:v>MI</c:v>
                </c:pt>
                <c:pt idx="13">
                  <c:v>NE</c:v>
                </c:pt>
                <c:pt idx="14">
                  <c:v>NJ</c:v>
                </c:pt>
                <c:pt idx="15">
                  <c:v>AZ</c:v>
                </c:pt>
                <c:pt idx="16">
                  <c:v>UT</c:v>
                </c:pt>
                <c:pt idx="17">
                  <c:v>MN</c:v>
                </c:pt>
                <c:pt idx="18">
                  <c:v>NC</c:v>
                </c:pt>
              </c:strCache>
            </c:strRef>
          </c:cat>
          <c:val>
            <c:numRef>
              <c:f>PivotTables!$B$2:$B$21</c:f>
              <c:numCache>
                <c:formatCode>General</c:formatCode>
                <c:ptCount val="19"/>
                <c:pt idx="0">
                  <c:v>23</c:v>
                </c:pt>
                <c:pt idx="1">
                  <c:v>19</c:v>
                </c:pt>
                <c:pt idx="2">
                  <c:v>11</c:v>
                </c:pt>
                <c:pt idx="3">
                  <c:v>6</c:v>
                </c:pt>
                <c:pt idx="4">
                  <c:v>3</c:v>
                </c:pt>
                <c:pt idx="5">
                  <c:v>2</c:v>
                </c:pt>
                <c:pt idx="6">
                  <c:v>2</c:v>
                </c:pt>
                <c:pt idx="7">
                  <c:v>2</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F9E2-4DF0-B39D-B7549B0050A1}"/>
            </c:ext>
          </c:extLst>
        </c:ser>
        <c:dLbls>
          <c:dLblPos val="outEnd"/>
          <c:showLegendKey val="0"/>
          <c:showVal val="0"/>
          <c:showCatName val="0"/>
          <c:showSerName val="0"/>
          <c:showPercent val="0"/>
          <c:showBubbleSize val="0"/>
        </c:dLbls>
        <c:gapWidth val="100"/>
        <c:overlap val="-24"/>
        <c:axId val="87597423"/>
        <c:axId val="1862791328"/>
      </c:barChart>
      <c:catAx>
        <c:axId val="875974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2791328"/>
        <c:crosses val="autoZero"/>
        <c:auto val="1"/>
        <c:lblAlgn val="ctr"/>
        <c:lblOffset val="100"/>
        <c:noMultiLvlLbl val="0"/>
      </c:catAx>
      <c:valAx>
        <c:axId val="1862791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5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PivotTables!$B$47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cat>
            <c:strRef>
              <c:f>PivotTables!$A$48:$A$87</c:f>
              <c:strCache>
                <c:ptCount val="39"/>
                <c:pt idx="0">
                  <c:v>Cognowiz</c:v>
                </c:pt>
                <c:pt idx="1">
                  <c:v>Q2A Media Services Pvt Ltd</c:v>
                </c:pt>
                <c:pt idx="2">
                  <c:v>Amazon.com Services LLC</c:v>
                </c:pt>
                <c:pt idx="3">
                  <c:v>Tencent</c:v>
                </c:pt>
                <c:pt idx="4">
                  <c:v>PG&amp;E Corporation</c:v>
                </c:pt>
                <c:pt idx="5">
                  <c:v>JPMorgan Chase &amp; Co</c:v>
                </c:pt>
                <c:pt idx="6">
                  <c:v>Blue Cross and Blue Shield of North Carolina</c:v>
                </c:pt>
                <c:pt idx="7">
                  <c:v>Children's Health</c:v>
                </c:pt>
                <c:pt idx="8">
                  <c:v>Chirality Research</c:v>
                </c:pt>
                <c:pt idx="9">
                  <c:v>Zartico</c:v>
                </c:pt>
                <c:pt idx="10">
                  <c:v>Amazon Web Services, Inc.</c:v>
                </c:pt>
                <c:pt idx="11">
                  <c:v>Michaels Stores, Inc.</c:v>
                </c:pt>
                <c:pt idx="12">
                  <c:v>Cognowiz solutions LLC</c:v>
                </c:pt>
                <c:pt idx="13">
                  <c:v>Tech brothers infoservices</c:v>
                </c:pt>
                <c:pt idx="14">
                  <c:v>Dataline</c:v>
                </c:pt>
                <c:pt idx="15">
                  <c:v>US Federal Energy Regulatory Commission</c:v>
                </c:pt>
                <c:pt idx="16">
                  <c:v>Denver Health</c:v>
                </c:pt>
                <c:pt idx="17">
                  <c:v>Adobe</c:v>
                </c:pt>
                <c:pt idx="18">
                  <c:v>Discord</c:v>
                </c:pt>
                <c:pt idx="19">
                  <c:v>Mastercard</c:v>
                </c:pt>
                <c:pt idx="20">
                  <c:v>People, Technology &amp; Processes</c:v>
                </c:pt>
                <c:pt idx="21">
                  <c:v>Nexlogica</c:v>
                </c:pt>
                <c:pt idx="22">
                  <c:v>BAE Systems</c:v>
                </c:pt>
                <c:pt idx="23">
                  <c:v>Software Bloc</c:v>
                </c:pt>
                <c:pt idx="24">
                  <c:v>QVine Corporation</c:v>
                </c:pt>
                <c:pt idx="25">
                  <c:v>Discover Financial Services</c:v>
                </c:pt>
                <c:pt idx="26">
                  <c:v>Sandhills Global, Inc.</c:v>
                </c:pt>
                <c:pt idx="27">
                  <c:v>Dutech Systems</c:v>
                </c:pt>
                <c:pt idx="28">
                  <c:v>SysIntelli</c:v>
                </c:pt>
                <c:pt idx="29">
                  <c:v>EVRY India</c:v>
                </c:pt>
                <c:pt idx="30">
                  <c:v>TechCoreGlobal</c:v>
                </c:pt>
                <c:pt idx="31">
                  <c:v>Health Alliance Plan</c:v>
                </c:pt>
                <c:pt idx="32">
                  <c:v>Twitch Interactive, Inc.</c:v>
                </c:pt>
                <c:pt idx="33">
                  <c:v>HR, Legal, &amp; Administration</c:v>
                </c:pt>
                <c:pt idx="34">
                  <c:v>Walmart</c:v>
                </c:pt>
                <c:pt idx="35">
                  <c:v>INTEL</c:v>
                </c:pt>
                <c:pt idx="36">
                  <c:v>Zartico, Inc.</c:v>
                </c:pt>
                <c:pt idx="37">
                  <c:v>Intone Networks</c:v>
                </c:pt>
                <c:pt idx="38">
                  <c:v>Iron EagleX</c:v>
                </c:pt>
              </c:strCache>
            </c:strRef>
          </c:cat>
          <c:val>
            <c:numRef>
              <c:f>PivotTables!$B$48:$B$87</c:f>
              <c:numCache>
                <c:formatCode>General</c:formatCode>
                <c:ptCount val="39"/>
                <c:pt idx="0">
                  <c:v>20</c:v>
                </c:pt>
                <c:pt idx="1">
                  <c:v>19</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000-20DD-4ABC-919E-6CE82394CB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On-Site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PivotTables!$B$602</c:f>
              <c:strCache>
                <c:ptCount val="1"/>
                <c:pt idx="0">
                  <c:v>Average of Miniumum Salary</c:v>
                </c:pt>
              </c:strCache>
            </c:strRef>
          </c:tx>
          <c:spPr>
            <a:solidFill>
              <a:schemeClr val="accent1"/>
            </a:solidFill>
            <a:ln>
              <a:noFill/>
            </a:ln>
            <a:effectLst/>
          </c:spPr>
          <c:invertIfNegative val="0"/>
          <c:cat>
            <c:strRef>
              <c:f>PivotTables!$A$603:$A$605</c:f>
              <c:strCache>
                <c:ptCount val="2"/>
                <c:pt idx="0">
                  <c:v>On-Site</c:v>
                </c:pt>
                <c:pt idx="1">
                  <c:v>Remote</c:v>
                </c:pt>
              </c:strCache>
            </c:strRef>
          </c:cat>
          <c:val>
            <c:numRef>
              <c:f>PivotTables!$B$603:$B$605</c:f>
              <c:numCache>
                <c:formatCode>"$"#,##0</c:formatCode>
                <c:ptCount val="2"/>
                <c:pt idx="0">
                  <c:v>105413.15789473684</c:v>
                </c:pt>
                <c:pt idx="1">
                  <c:v>93843.199999999997</c:v>
                </c:pt>
              </c:numCache>
            </c:numRef>
          </c:val>
          <c:extLst>
            <c:ext xmlns:c16="http://schemas.microsoft.com/office/drawing/2014/chart" uri="{C3380CC4-5D6E-409C-BE32-E72D297353CC}">
              <c16:uniqueId val="{00000000-E605-4ED1-9905-419ED68A8819}"/>
            </c:ext>
          </c:extLst>
        </c:ser>
        <c:ser>
          <c:idx val="1"/>
          <c:order val="1"/>
          <c:tx>
            <c:strRef>
              <c:f>PivotTables!$C$602</c:f>
              <c:strCache>
                <c:ptCount val="1"/>
                <c:pt idx="0">
                  <c:v>Average of Average Salary</c:v>
                </c:pt>
              </c:strCache>
            </c:strRef>
          </c:tx>
          <c:spPr>
            <a:solidFill>
              <a:schemeClr val="accent2"/>
            </a:solidFill>
            <a:ln>
              <a:noFill/>
            </a:ln>
            <a:effectLst/>
          </c:spPr>
          <c:invertIfNegative val="0"/>
          <c:cat>
            <c:strRef>
              <c:f>PivotTables!$A$603:$A$605</c:f>
              <c:strCache>
                <c:ptCount val="2"/>
                <c:pt idx="0">
                  <c:v>On-Site</c:v>
                </c:pt>
                <c:pt idx="1">
                  <c:v>Remote</c:v>
                </c:pt>
              </c:strCache>
            </c:strRef>
          </c:cat>
          <c:val>
            <c:numRef>
              <c:f>PivotTables!$C$603:$C$605</c:f>
              <c:numCache>
                <c:formatCode>"$"#,##0</c:formatCode>
                <c:ptCount val="2"/>
                <c:pt idx="0">
                  <c:v>120892.10526315789</c:v>
                </c:pt>
                <c:pt idx="1">
                  <c:v>110976</c:v>
                </c:pt>
              </c:numCache>
            </c:numRef>
          </c:val>
          <c:extLst>
            <c:ext xmlns:c16="http://schemas.microsoft.com/office/drawing/2014/chart" uri="{C3380CC4-5D6E-409C-BE32-E72D297353CC}">
              <c16:uniqueId val="{00000001-E605-4ED1-9905-419ED68A8819}"/>
            </c:ext>
          </c:extLst>
        </c:ser>
        <c:ser>
          <c:idx val="2"/>
          <c:order val="2"/>
          <c:tx>
            <c:strRef>
              <c:f>PivotTables!$D$602</c:f>
              <c:strCache>
                <c:ptCount val="1"/>
                <c:pt idx="0">
                  <c:v>Average of Maximum Salary</c:v>
                </c:pt>
              </c:strCache>
            </c:strRef>
          </c:tx>
          <c:spPr>
            <a:solidFill>
              <a:schemeClr val="accent3"/>
            </a:solidFill>
            <a:ln>
              <a:noFill/>
            </a:ln>
            <a:effectLst/>
          </c:spPr>
          <c:invertIfNegative val="0"/>
          <c:cat>
            <c:strRef>
              <c:f>PivotTables!$A$603:$A$605</c:f>
              <c:strCache>
                <c:ptCount val="2"/>
                <c:pt idx="0">
                  <c:v>On-Site</c:v>
                </c:pt>
                <c:pt idx="1">
                  <c:v>Remote</c:v>
                </c:pt>
              </c:strCache>
            </c:strRef>
          </c:cat>
          <c:val>
            <c:numRef>
              <c:f>PivotTables!$D$603:$D$605</c:f>
              <c:numCache>
                <c:formatCode>"$"#,##0</c:formatCode>
                <c:ptCount val="2"/>
                <c:pt idx="0">
                  <c:v>136371.05263157896</c:v>
                </c:pt>
                <c:pt idx="1">
                  <c:v>128108.8</c:v>
                </c:pt>
              </c:numCache>
            </c:numRef>
          </c:val>
          <c:extLst>
            <c:ext xmlns:c16="http://schemas.microsoft.com/office/drawing/2014/chart" uri="{C3380CC4-5D6E-409C-BE32-E72D297353CC}">
              <c16:uniqueId val="{00000004-E605-4ED1-9905-419ED68A8819}"/>
            </c:ext>
          </c:extLst>
        </c:ser>
        <c:dLbls>
          <c:showLegendKey val="0"/>
          <c:showVal val="0"/>
          <c:showCatName val="0"/>
          <c:showSerName val="0"/>
          <c:showPercent val="0"/>
          <c:showBubbleSize val="0"/>
        </c:dLbls>
        <c:gapWidth val="219"/>
        <c:overlap val="-27"/>
        <c:axId val="241667263"/>
        <c:axId val="1419166720"/>
      </c:barChart>
      <c:catAx>
        <c:axId val="241667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66720"/>
        <c:crosses val="autoZero"/>
        <c:auto val="1"/>
        <c:lblAlgn val="ctr"/>
        <c:lblOffset val="100"/>
        <c:noMultiLvlLbl val="0"/>
      </c:catAx>
      <c:valAx>
        <c:axId val="141916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Job Rating by On-Site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PivotTables!$B$607</c:f>
              <c:strCache>
                <c:ptCount val="1"/>
                <c:pt idx="0">
                  <c:v>Total</c:v>
                </c:pt>
              </c:strCache>
            </c:strRef>
          </c:tx>
          <c:spPr>
            <a:solidFill>
              <a:schemeClr val="accent1"/>
            </a:solidFill>
            <a:ln>
              <a:noFill/>
            </a:ln>
            <a:effectLst/>
          </c:spPr>
          <c:invertIfNegative val="0"/>
          <c:cat>
            <c:strRef>
              <c:f>PivotTables!$A$608:$A$610</c:f>
              <c:strCache>
                <c:ptCount val="2"/>
                <c:pt idx="0">
                  <c:v>On-Site</c:v>
                </c:pt>
                <c:pt idx="1">
                  <c:v>Remote</c:v>
                </c:pt>
              </c:strCache>
            </c:strRef>
          </c:cat>
          <c:val>
            <c:numRef>
              <c:f>PivotTables!$B$608:$B$610</c:f>
              <c:numCache>
                <c:formatCode>0.0</c:formatCode>
                <c:ptCount val="2"/>
                <c:pt idx="0">
                  <c:v>4.2888888888888896</c:v>
                </c:pt>
                <c:pt idx="1">
                  <c:v>3.5</c:v>
                </c:pt>
              </c:numCache>
            </c:numRef>
          </c:val>
          <c:extLst>
            <c:ext xmlns:c16="http://schemas.microsoft.com/office/drawing/2014/chart" uri="{C3380CC4-5D6E-409C-BE32-E72D297353CC}">
              <c16:uniqueId val="{00000000-D279-45B4-A86B-08EF6743F9DA}"/>
            </c:ext>
          </c:extLst>
        </c:ser>
        <c:dLbls>
          <c:showLegendKey val="0"/>
          <c:showVal val="0"/>
          <c:showCatName val="0"/>
          <c:showSerName val="0"/>
          <c:showPercent val="0"/>
          <c:showBubbleSize val="0"/>
        </c:dLbls>
        <c:gapWidth val="219"/>
        <c:overlap val="-27"/>
        <c:axId val="241611119"/>
        <c:axId val="1419175360"/>
      </c:barChart>
      <c:catAx>
        <c:axId val="241611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75360"/>
        <c:crosses val="autoZero"/>
        <c:auto val="1"/>
        <c:lblAlgn val="ctr"/>
        <c:lblOffset val="100"/>
        <c:noMultiLvlLbl val="0"/>
      </c:catAx>
      <c:valAx>
        <c:axId val="141917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Ratinh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[CleanedGlassdoorDSJobs.xlsx]PivotTables!PivotTable3</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Count</a:t>
            </a:r>
            <a:r>
              <a:rPr lang="en-US" baseline="0"/>
              <a:t> by State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PivotTables!$A$2:$A$21</c:f>
              <c:strCache>
                <c:ptCount val="19"/>
                <c:pt idx="0">
                  <c:v>VA</c:v>
                </c:pt>
                <c:pt idx="1">
                  <c:v>RI</c:v>
                </c:pt>
                <c:pt idx="2">
                  <c:v>CA</c:v>
                </c:pt>
                <c:pt idx="3">
                  <c:v>TX</c:v>
                </c:pt>
                <c:pt idx="4">
                  <c:v>Remote</c:v>
                </c:pt>
                <c:pt idx="5">
                  <c:v>FL</c:v>
                </c:pt>
                <c:pt idx="6">
                  <c:v>IL</c:v>
                </c:pt>
                <c:pt idx="7">
                  <c:v>DC</c:v>
                </c:pt>
                <c:pt idx="8">
                  <c:v>CO</c:v>
                </c:pt>
                <c:pt idx="9">
                  <c:v>PA</c:v>
                </c:pt>
                <c:pt idx="10">
                  <c:v>OH</c:v>
                </c:pt>
                <c:pt idx="11">
                  <c:v>IA</c:v>
                </c:pt>
                <c:pt idx="12">
                  <c:v>MI</c:v>
                </c:pt>
                <c:pt idx="13">
                  <c:v>NE</c:v>
                </c:pt>
                <c:pt idx="14">
                  <c:v>NJ</c:v>
                </c:pt>
                <c:pt idx="15">
                  <c:v>AZ</c:v>
                </c:pt>
                <c:pt idx="16">
                  <c:v>UT</c:v>
                </c:pt>
                <c:pt idx="17">
                  <c:v>MN</c:v>
                </c:pt>
                <c:pt idx="18">
                  <c:v>NC</c:v>
                </c:pt>
              </c:strCache>
            </c:strRef>
          </c:cat>
          <c:val>
            <c:numRef>
              <c:f>PivotTables!$B$2:$B$21</c:f>
              <c:numCache>
                <c:formatCode>General</c:formatCode>
                <c:ptCount val="19"/>
                <c:pt idx="0">
                  <c:v>23</c:v>
                </c:pt>
                <c:pt idx="1">
                  <c:v>19</c:v>
                </c:pt>
                <c:pt idx="2">
                  <c:v>11</c:v>
                </c:pt>
                <c:pt idx="3">
                  <c:v>6</c:v>
                </c:pt>
                <c:pt idx="4">
                  <c:v>3</c:v>
                </c:pt>
                <c:pt idx="5">
                  <c:v>2</c:v>
                </c:pt>
                <c:pt idx="6">
                  <c:v>2</c:v>
                </c:pt>
                <c:pt idx="7">
                  <c:v>2</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8FA3-4E35-8D66-302F00F8AE13}"/>
            </c:ext>
          </c:extLst>
        </c:ser>
        <c:dLbls>
          <c:showLegendKey val="0"/>
          <c:showVal val="0"/>
          <c:showCatName val="0"/>
          <c:showSerName val="0"/>
          <c:showPercent val="0"/>
          <c:showBubbleSize val="0"/>
        </c:dLbls>
        <c:gapWidth val="100"/>
        <c:overlap val="-24"/>
        <c:axId val="87597423"/>
        <c:axId val="1862791328"/>
      </c:barChart>
      <c:catAx>
        <c:axId val="875974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2791328"/>
        <c:crosses val="autoZero"/>
        <c:auto val="1"/>
        <c:lblAlgn val="ctr"/>
        <c:lblOffset val="100"/>
        <c:noMultiLvlLbl val="0"/>
      </c:catAx>
      <c:valAx>
        <c:axId val="1862791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5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[CleanedGlassdoorDSJobs.xlsx]PivotTables!PivotTable5</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2"/>
                </a:solidFill>
              </a:rPr>
              <a:t>Top 10 Companies by Job</a:t>
            </a:r>
            <a:r>
              <a:rPr lang="en-US" baseline="0">
                <a:solidFill>
                  <a:schemeClr val="tx2"/>
                </a:solidFill>
              </a:rPr>
              <a:t> Postings</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dLbl>
          <c:idx val="0"/>
          <c:showLegendKey val="0"/>
          <c:showVal val="0"/>
          <c:showCatName val="0"/>
          <c:showSerName val="0"/>
          <c:showPercent val="0"/>
          <c:showBubbleSize val="0"/>
          <c:extLst>
            <c:ext xmlns:c15="http://schemas.microsoft.com/office/drawing/2012/chart" uri="{CE6537A1-D6FC-4f65-9D91-7224C49458BB}"/>
          </c:extLst>
        </c:dLbl>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dLbl>
          <c:idx val="0"/>
          <c:showLegendKey val="0"/>
          <c:showVal val="0"/>
          <c:showCatName val="0"/>
          <c:showSerName val="0"/>
          <c:showPercent val="0"/>
          <c:showBubbleSize val="0"/>
          <c:extLst>
            <c:ext xmlns:c15="http://schemas.microsoft.com/office/drawing/2012/chart" uri="{CE6537A1-D6FC-4f65-9D91-7224C49458BB}"/>
          </c:extLst>
        </c:dLbl>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pivotFmt>
      <c:pivotFmt>
        <c:idx val="1656"/>
      </c:pivotFmt>
      <c:pivotFmt>
        <c:idx val="1657"/>
      </c:pivotFmt>
      <c:pivotFmt>
        <c:idx val="1658"/>
      </c:pivotFmt>
      <c:pivotFmt>
        <c:idx val="1659"/>
      </c:pivotFmt>
      <c:pivotFmt>
        <c:idx val="1660"/>
      </c:pivotFmt>
      <c:pivotFmt>
        <c:idx val="1661"/>
        <c:dLbl>
          <c:idx val="0"/>
          <c:showLegendKey val="0"/>
          <c:showVal val="0"/>
          <c:showCatName val="0"/>
          <c:showSerName val="0"/>
          <c:showPercent val="0"/>
          <c:showBubbleSize val="0"/>
          <c:extLst>
            <c:ext xmlns:c15="http://schemas.microsoft.com/office/drawing/2012/chart" uri="{CE6537A1-D6FC-4f65-9D91-7224C49458BB}"/>
          </c:extLst>
        </c:dLbl>
      </c:pivotFmt>
      <c:pivotFmt>
        <c:idx val="1662"/>
      </c:pivotFmt>
      <c:pivotFmt>
        <c:idx val="1663"/>
      </c:pivotFmt>
      <c:pivotFmt>
        <c:idx val="1664"/>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pivotFmt>
      <c:pivotFmt>
        <c:idx val="1764"/>
      </c:pivotFmt>
      <c:pivotFmt>
        <c:idx val="1765"/>
      </c:pivotFmt>
      <c:pivotFmt>
        <c:idx val="1766"/>
      </c:pivotFmt>
      <c:pivotFmt>
        <c:idx val="1767"/>
      </c:pivotFmt>
      <c:pivotFmt>
        <c:idx val="1768"/>
      </c:pivotFmt>
      <c:pivotFmt>
        <c:idx val="1769"/>
      </c:pivotFmt>
      <c:pivotFmt>
        <c:idx val="1770"/>
      </c:pivotFmt>
      <c:pivotFmt>
        <c:idx val="1771"/>
      </c:pivotFmt>
      <c:pivotFmt>
        <c:idx val="1772"/>
      </c:pivotFmt>
      <c:pivotFmt>
        <c:idx val="1773"/>
      </c:pivotFmt>
      <c:pivotFmt>
        <c:idx val="1774"/>
      </c:pivotFmt>
      <c:pivotFmt>
        <c:idx val="1775"/>
      </c:pivotFmt>
      <c:pivotFmt>
        <c:idx val="1776"/>
      </c:pivotFmt>
      <c:pivotFmt>
        <c:idx val="1777"/>
      </c:pivotFmt>
      <c:pivotFmt>
        <c:idx val="1778"/>
      </c:pivotFmt>
      <c:pivotFmt>
        <c:idx val="1779"/>
      </c:pivotFmt>
      <c:pivotFmt>
        <c:idx val="1780"/>
      </c:pivotFmt>
      <c:pivotFmt>
        <c:idx val="1781"/>
      </c:pivotFmt>
      <c:pivotFmt>
        <c:idx val="1782"/>
      </c:pivotFmt>
      <c:pivotFmt>
        <c:idx val="1783"/>
      </c:pivotFmt>
      <c:pivotFmt>
        <c:idx val="1784"/>
      </c:pivotFmt>
      <c:pivotFmt>
        <c:idx val="1785"/>
      </c:pivotFmt>
      <c:pivotFmt>
        <c:idx val="1786"/>
      </c:pivotFmt>
      <c:pivotFmt>
        <c:idx val="1787"/>
      </c:pivotFmt>
      <c:pivotFmt>
        <c:idx val="1788"/>
      </c:pivotFmt>
      <c:pivotFmt>
        <c:idx val="1789"/>
      </c:pivotFmt>
      <c:pivotFmt>
        <c:idx val="1790"/>
      </c:pivotFmt>
      <c:pivotFmt>
        <c:idx val="1791"/>
      </c:pivotFmt>
      <c:pivotFmt>
        <c:idx val="1792"/>
      </c:pivotFmt>
      <c:pivotFmt>
        <c:idx val="1793"/>
      </c:pivotFmt>
      <c:pivotFmt>
        <c:idx val="1794"/>
      </c:pivotFmt>
      <c:pivotFmt>
        <c:idx val="1795"/>
      </c:pivotFmt>
      <c:pivotFmt>
        <c:idx val="1796"/>
      </c:pivotFmt>
      <c:pivotFmt>
        <c:idx val="1797"/>
      </c:pivotFmt>
      <c:pivotFmt>
        <c:idx val="1798"/>
      </c:pivotFmt>
      <c:pivotFmt>
        <c:idx val="1799"/>
      </c:pivotFmt>
      <c:pivotFmt>
        <c:idx val="1800"/>
      </c:pivotFmt>
      <c:pivotFmt>
        <c:idx val="1801"/>
      </c:pivotFmt>
      <c:pivotFmt>
        <c:idx val="1802"/>
      </c:pivotFmt>
      <c:pivotFmt>
        <c:idx val="1803"/>
      </c:pivotFmt>
      <c:pivotFmt>
        <c:idx val="1804"/>
      </c:pivotFmt>
      <c:pivotFmt>
        <c:idx val="1805"/>
      </c:pivotFmt>
      <c:pivotFmt>
        <c:idx val="1806"/>
      </c:pivotFmt>
      <c:pivotFmt>
        <c:idx val="1807"/>
      </c:pivotFmt>
      <c:pivotFmt>
        <c:idx val="1808"/>
      </c:pivotFmt>
      <c:pivotFmt>
        <c:idx val="1809"/>
      </c:pivotFmt>
      <c:pivotFmt>
        <c:idx val="1810"/>
      </c:pivotFmt>
      <c:pivotFmt>
        <c:idx val="1811"/>
      </c:pivotFmt>
      <c:pivotFmt>
        <c:idx val="1812"/>
      </c:pivotFmt>
      <c:pivotFmt>
        <c:idx val="1813"/>
      </c:pivotFmt>
      <c:pivotFmt>
        <c:idx val="1814"/>
      </c:pivotFmt>
      <c:pivotFmt>
        <c:idx val="1815"/>
      </c:pivotFmt>
      <c:pivotFmt>
        <c:idx val="1816"/>
      </c:pivotFmt>
      <c:pivotFmt>
        <c:idx val="1817"/>
      </c:pivotFmt>
      <c:pivotFmt>
        <c:idx val="1818"/>
      </c:pivotFmt>
      <c:pivotFmt>
        <c:idx val="1819"/>
      </c:pivotFmt>
      <c:pivotFmt>
        <c:idx val="1820"/>
      </c:pivotFmt>
      <c:pivotFmt>
        <c:idx val="1821"/>
      </c:pivotFmt>
      <c:pivotFmt>
        <c:idx val="1822"/>
      </c:pivotFmt>
      <c:pivotFmt>
        <c:idx val="1823"/>
      </c:pivotFmt>
      <c:pivotFmt>
        <c:idx val="1824"/>
      </c:pivotFmt>
      <c:pivotFmt>
        <c:idx val="1825"/>
      </c:pivotFmt>
      <c:pivotFmt>
        <c:idx val="1826"/>
      </c:pivotFmt>
      <c:pivotFmt>
        <c:idx val="1827"/>
      </c:pivotFmt>
      <c:pivotFmt>
        <c:idx val="1828"/>
      </c:pivotFmt>
      <c:pivotFmt>
        <c:idx val="1829"/>
      </c:pivotFmt>
      <c:pivotFmt>
        <c:idx val="1830"/>
      </c:pivotFmt>
      <c:pivotFmt>
        <c:idx val="1831"/>
      </c:pivotFmt>
      <c:pivotFmt>
        <c:idx val="1832"/>
      </c:pivotFmt>
      <c:pivotFmt>
        <c:idx val="1833"/>
      </c:pivotFmt>
      <c:pivotFmt>
        <c:idx val="1834"/>
      </c:pivotFmt>
      <c:pivotFmt>
        <c:idx val="1835"/>
      </c:pivotFmt>
      <c:pivotFmt>
        <c:idx val="1836"/>
      </c:pivotFmt>
      <c:pivotFmt>
        <c:idx val="1837"/>
      </c:pivotFmt>
      <c:pivotFmt>
        <c:idx val="1838"/>
      </c:pivotFmt>
      <c:pivotFmt>
        <c:idx val="1839"/>
      </c:pivotFmt>
      <c:pivotFmt>
        <c:idx val="1840"/>
      </c:pivotFmt>
      <c:pivotFmt>
        <c:idx val="1841"/>
      </c:pivotFmt>
      <c:pivotFmt>
        <c:idx val="1842"/>
      </c:pivotFmt>
      <c:pivotFmt>
        <c:idx val="1843"/>
      </c:pivotFmt>
      <c:pivotFmt>
        <c:idx val="1844"/>
      </c:pivotFmt>
      <c:pivotFmt>
        <c:idx val="1845"/>
      </c:pivotFmt>
      <c:pivotFmt>
        <c:idx val="1846"/>
      </c:pivotFmt>
      <c:pivotFmt>
        <c:idx val="1847"/>
      </c:pivotFmt>
      <c:pivotFmt>
        <c:idx val="1848"/>
      </c:pivotFmt>
      <c:pivotFmt>
        <c:idx val="1849"/>
      </c:pivotFmt>
      <c:pivotFmt>
        <c:idx val="1850"/>
      </c:pivotFmt>
      <c:pivotFmt>
        <c:idx val="1851"/>
      </c:pivotFmt>
      <c:pivotFmt>
        <c:idx val="1852"/>
      </c:pivotFmt>
      <c:pivotFmt>
        <c:idx val="1853"/>
      </c:pivotFmt>
      <c:pivotFmt>
        <c:idx val="1854"/>
      </c:pivotFmt>
      <c:pivotFmt>
        <c:idx val="1855"/>
      </c:pivotFmt>
      <c:pivotFmt>
        <c:idx val="1856"/>
      </c:pivotFmt>
      <c:pivotFmt>
        <c:idx val="1857"/>
      </c:pivotFmt>
      <c:pivotFmt>
        <c:idx val="1858"/>
      </c:pivotFmt>
      <c:pivotFmt>
        <c:idx val="1859"/>
      </c:pivotFmt>
      <c:pivotFmt>
        <c:idx val="1860"/>
      </c:pivotFmt>
      <c:pivotFmt>
        <c:idx val="1861"/>
      </c:pivotFmt>
      <c:pivotFmt>
        <c:idx val="1862"/>
      </c:pivotFmt>
      <c:pivotFmt>
        <c:idx val="1863"/>
      </c:pivotFmt>
      <c:pivotFmt>
        <c:idx val="1864"/>
      </c:pivotFmt>
      <c:pivotFmt>
        <c:idx val="1865"/>
      </c:pivotFmt>
      <c:pivotFmt>
        <c:idx val="1866"/>
      </c:pivotFmt>
      <c:pivotFmt>
        <c:idx val="1867"/>
      </c:pivotFmt>
      <c:pivotFmt>
        <c:idx val="1868"/>
      </c:pivotFmt>
      <c:pivotFmt>
        <c:idx val="1869"/>
      </c:pivotFmt>
      <c:pivotFmt>
        <c:idx val="1870"/>
      </c:pivotFmt>
      <c:pivotFmt>
        <c:idx val="1871"/>
      </c:pivotFmt>
      <c:pivotFmt>
        <c:idx val="1872"/>
      </c:pivotFmt>
      <c:pivotFmt>
        <c:idx val="1873"/>
      </c:pivotFmt>
      <c:pivotFmt>
        <c:idx val="1874"/>
      </c:pivotFmt>
      <c:pivotFmt>
        <c:idx val="1875"/>
      </c:pivotFmt>
      <c:pivotFmt>
        <c:idx val="1876"/>
      </c:pivotFmt>
      <c:pivotFmt>
        <c:idx val="1877"/>
      </c:pivotFmt>
      <c:pivotFmt>
        <c:idx val="1878"/>
      </c:pivotFmt>
      <c:pivotFmt>
        <c:idx val="1879"/>
      </c:pivotFmt>
      <c:pivotFmt>
        <c:idx val="1880"/>
      </c:pivotFmt>
      <c:pivotFmt>
        <c:idx val="1881"/>
      </c:pivotFmt>
      <c:pivotFmt>
        <c:idx val="1882"/>
      </c:pivotFmt>
      <c:pivotFmt>
        <c:idx val="1883"/>
      </c:pivotFmt>
      <c:pivotFmt>
        <c:idx val="1884"/>
      </c:pivotFmt>
      <c:pivotFmt>
        <c:idx val="1885"/>
      </c:pivotFmt>
      <c:pivotFmt>
        <c:idx val="1886"/>
      </c:pivotFmt>
      <c:pivotFmt>
        <c:idx val="1887"/>
      </c:pivotFmt>
      <c:pivotFmt>
        <c:idx val="1888"/>
      </c:pivotFmt>
      <c:pivotFmt>
        <c:idx val="1889"/>
      </c:pivotFmt>
      <c:pivotFmt>
        <c:idx val="1890"/>
      </c:pivotFmt>
      <c:pivotFmt>
        <c:idx val="1891"/>
      </c:pivotFmt>
      <c:pivotFmt>
        <c:idx val="1892"/>
      </c:pivotFmt>
      <c:pivotFmt>
        <c:idx val="1893"/>
      </c:pivotFmt>
      <c:pivotFmt>
        <c:idx val="1894"/>
      </c:pivotFmt>
      <c:pivotFmt>
        <c:idx val="1895"/>
      </c:pivotFmt>
      <c:pivotFmt>
        <c:idx val="1896"/>
      </c:pivotFmt>
      <c:pivotFmt>
        <c:idx val="1897"/>
      </c:pivotFmt>
      <c:pivotFmt>
        <c:idx val="1898"/>
      </c:pivotFmt>
      <c:pivotFmt>
        <c:idx val="1899"/>
      </c:pivotFmt>
      <c:pivotFmt>
        <c:idx val="1900"/>
      </c:pivotFmt>
      <c:pivotFmt>
        <c:idx val="1901"/>
      </c:pivotFmt>
      <c:pivotFmt>
        <c:idx val="1902"/>
      </c:pivotFmt>
      <c:pivotFmt>
        <c:idx val="1903"/>
      </c:pivotFmt>
      <c:pivotFmt>
        <c:idx val="1904"/>
      </c:pivotFmt>
      <c:pivotFmt>
        <c:idx val="1905"/>
      </c:pivotFmt>
      <c:pivotFmt>
        <c:idx val="1906"/>
      </c:pivotFmt>
      <c:pivotFmt>
        <c:idx val="1907"/>
      </c:pivotFmt>
      <c:pivotFmt>
        <c:idx val="1908"/>
      </c:pivotFmt>
      <c:pivotFmt>
        <c:idx val="1909"/>
      </c:pivotFmt>
      <c:pivotFmt>
        <c:idx val="1910"/>
      </c:pivotFmt>
      <c:pivotFmt>
        <c:idx val="1911"/>
      </c:pivotFmt>
      <c:pivotFmt>
        <c:idx val="1912"/>
      </c:pivotFmt>
      <c:pivotFmt>
        <c:idx val="1913"/>
      </c:pivotFmt>
      <c:pivotFmt>
        <c:idx val="1914"/>
      </c:pivotFmt>
      <c:pivotFmt>
        <c:idx val="1915"/>
      </c:pivotFmt>
      <c:pivotFmt>
        <c:idx val="1916"/>
      </c:pivotFmt>
      <c:pivotFmt>
        <c:idx val="1917"/>
      </c:pivotFmt>
      <c:pivotFmt>
        <c:idx val="1918"/>
      </c:pivotFmt>
      <c:pivotFmt>
        <c:idx val="1919"/>
      </c:pivotFmt>
      <c:pivotFmt>
        <c:idx val="1920"/>
      </c:pivotFmt>
      <c:pivotFmt>
        <c:idx val="1921"/>
      </c:pivotFmt>
      <c:pivotFmt>
        <c:idx val="1922"/>
      </c:pivotFmt>
      <c:pivotFmt>
        <c:idx val="1923"/>
      </c:pivotFmt>
      <c:pivotFmt>
        <c:idx val="1924"/>
      </c:pivotFmt>
      <c:pivotFmt>
        <c:idx val="1925"/>
      </c:pivotFmt>
      <c:pivotFmt>
        <c:idx val="1926"/>
      </c:pivotFmt>
      <c:pivotFmt>
        <c:idx val="1927"/>
      </c:pivotFmt>
      <c:pivotFmt>
        <c:idx val="1928"/>
      </c:pivotFmt>
      <c:pivotFmt>
        <c:idx val="1929"/>
      </c:pivotFmt>
      <c:pivotFmt>
        <c:idx val="1930"/>
      </c:pivotFmt>
      <c:pivotFmt>
        <c:idx val="1931"/>
      </c:pivotFmt>
      <c:pivotFmt>
        <c:idx val="1932"/>
      </c:pivotFmt>
      <c:pivotFmt>
        <c:idx val="1933"/>
      </c:pivotFmt>
      <c:pivotFmt>
        <c:idx val="1934"/>
      </c:pivotFmt>
      <c:pivotFmt>
        <c:idx val="1935"/>
      </c:pivotFmt>
      <c:pivotFmt>
        <c:idx val="1936"/>
      </c:pivotFmt>
      <c:pivotFmt>
        <c:idx val="1937"/>
      </c:pivotFmt>
      <c:pivotFmt>
        <c:idx val="1938"/>
      </c:pivotFmt>
      <c:pivotFmt>
        <c:idx val="1939"/>
      </c:pivotFmt>
      <c:pivotFmt>
        <c:idx val="1940"/>
      </c:pivotFmt>
      <c:pivotFmt>
        <c:idx val="1941"/>
      </c:pivotFmt>
      <c:pivotFmt>
        <c:idx val="1942"/>
      </c:pivotFmt>
      <c:pivotFmt>
        <c:idx val="1943"/>
      </c:pivotFmt>
      <c:pivotFmt>
        <c:idx val="1944"/>
      </c:pivotFmt>
      <c:pivotFmt>
        <c:idx val="1945"/>
      </c:pivotFmt>
      <c:pivotFmt>
        <c:idx val="1946"/>
      </c:pivotFmt>
      <c:pivotFmt>
        <c:idx val="1947"/>
      </c:pivotFmt>
      <c:pivotFmt>
        <c:idx val="1948"/>
      </c:pivotFmt>
      <c:pivotFmt>
        <c:idx val="1949"/>
      </c:pivotFmt>
      <c:pivotFmt>
        <c:idx val="1950"/>
      </c:pivotFmt>
      <c:pivotFmt>
        <c:idx val="1951"/>
      </c:pivotFmt>
      <c:pivotFmt>
        <c:idx val="1952"/>
      </c:pivotFmt>
      <c:pivotFmt>
        <c:idx val="1953"/>
      </c:pivotFmt>
      <c:pivotFmt>
        <c:idx val="1954"/>
      </c:pivotFmt>
      <c:pivotFmt>
        <c:idx val="1955"/>
      </c:pivotFmt>
      <c:pivotFmt>
        <c:idx val="1956"/>
      </c:pivotFmt>
      <c:pivotFmt>
        <c:idx val="1957"/>
      </c:pivotFmt>
      <c:pivotFmt>
        <c:idx val="1958"/>
      </c:pivotFmt>
      <c:pivotFmt>
        <c:idx val="1959"/>
      </c:pivotFmt>
      <c:pivotFmt>
        <c:idx val="1960"/>
      </c:pivotFmt>
      <c:pivotFmt>
        <c:idx val="1961"/>
      </c:pivotFmt>
      <c:pivotFmt>
        <c:idx val="1962"/>
      </c:pivotFmt>
      <c:pivotFmt>
        <c:idx val="1963"/>
      </c:pivotFmt>
      <c:pivotFmt>
        <c:idx val="1964"/>
      </c:pivotFmt>
      <c:pivotFmt>
        <c:idx val="1965"/>
      </c:pivotFmt>
      <c:pivotFmt>
        <c:idx val="1966"/>
      </c:pivotFmt>
      <c:pivotFmt>
        <c:idx val="1967"/>
      </c:pivotFmt>
      <c:pivotFmt>
        <c:idx val="1968"/>
      </c:pivotFmt>
      <c:pivotFmt>
        <c:idx val="1969"/>
      </c:pivotFmt>
      <c:pivotFmt>
        <c:idx val="1970"/>
      </c:pivotFmt>
      <c:pivotFmt>
        <c:idx val="1971"/>
      </c:pivotFmt>
      <c:pivotFmt>
        <c:idx val="1972"/>
      </c:pivotFmt>
      <c:pivotFmt>
        <c:idx val="1973"/>
      </c:pivotFmt>
      <c:pivotFmt>
        <c:idx val="1974"/>
      </c:pivotFmt>
      <c:pivotFmt>
        <c:idx val="1975"/>
      </c:pivotFmt>
      <c:pivotFmt>
        <c:idx val="1976"/>
      </c:pivotFmt>
      <c:pivotFmt>
        <c:idx val="1977"/>
      </c:pivotFmt>
      <c:pivotFmt>
        <c:idx val="1978"/>
      </c:pivotFmt>
      <c:pivotFmt>
        <c:idx val="1979"/>
      </c:pivotFmt>
      <c:pivotFmt>
        <c:idx val="1980"/>
      </c:pivotFmt>
      <c:pivotFmt>
        <c:idx val="1981"/>
      </c:pivotFmt>
      <c:pivotFmt>
        <c:idx val="1982"/>
      </c:pivotFmt>
      <c:pivotFmt>
        <c:idx val="1983"/>
      </c:pivotFmt>
      <c:pivotFmt>
        <c:idx val="1984"/>
      </c:pivotFmt>
      <c:pivotFmt>
        <c:idx val="1985"/>
      </c:pivotFmt>
      <c:pivotFmt>
        <c:idx val="1986"/>
      </c:pivotFmt>
      <c:pivotFmt>
        <c:idx val="1987"/>
      </c:pivotFmt>
      <c:pivotFmt>
        <c:idx val="1988"/>
      </c:pivotFmt>
      <c:pivotFmt>
        <c:idx val="1989"/>
      </c:pivotFmt>
      <c:pivotFmt>
        <c:idx val="1990"/>
      </c:pivotFmt>
      <c:pivotFmt>
        <c:idx val="1991"/>
      </c:pivotFmt>
      <c:pivotFmt>
        <c:idx val="1992"/>
      </c:pivotFmt>
      <c:pivotFmt>
        <c:idx val="1993"/>
      </c:pivotFmt>
      <c:pivotFmt>
        <c:idx val="1994"/>
      </c:pivotFmt>
      <c:pivotFmt>
        <c:idx val="1995"/>
      </c:pivotFmt>
      <c:pivotFmt>
        <c:idx val="1996"/>
      </c:pivotFmt>
      <c:pivotFmt>
        <c:idx val="1997"/>
      </c:pivotFmt>
      <c:pivotFmt>
        <c:idx val="1998"/>
      </c:pivotFmt>
      <c:pivotFmt>
        <c:idx val="1999"/>
      </c:pivotFmt>
      <c:pivotFmt>
        <c:idx val="2000"/>
      </c:pivotFmt>
      <c:pivotFmt>
        <c:idx val="2001"/>
      </c:pivotFmt>
      <c:pivotFmt>
        <c:idx val="2002"/>
      </c:pivotFmt>
      <c:pivotFmt>
        <c:idx val="2003"/>
      </c:pivotFmt>
      <c:pivotFmt>
        <c:idx val="2004"/>
      </c:pivotFmt>
      <c:pivotFmt>
        <c:idx val="2005"/>
      </c:pivotFmt>
      <c:pivotFmt>
        <c:idx val="2006"/>
      </c:pivotFmt>
      <c:pivotFmt>
        <c:idx val="2007"/>
      </c:pivotFmt>
      <c:pivotFmt>
        <c:idx val="2008"/>
      </c:pivotFmt>
      <c:pivotFmt>
        <c:idx val="2009"/>
      </c:pivotFmt>
      <c:pivotFmt>
        <c:idx val="2010"/>
      </c:pivotFmt>
      <c:pivotFmt>
        <c:idx val="2011"/>
      </c:pivotFmt>
      <c:pivotFmt>
        <c:idx val="2012"/>
      </c:pivotFmt>
      <c:pivotFmt>
        <c:idx val="2013"/>
      </c:pivotFmt>
      <c:pivotFmt>
        <c:idx val="2014"/>
      </c:pivotFmt>
      <c:pivotFmt>
        <c:idx val="2015"/>
      </c:pivotFmt>
      <c:pivotFmt>
        <c:idx val="2016"/>
      </c:pivotFmt>
      <c:pivotFmt>
        <c:idx val="2017"/>
      </c:pivotFmt>
      <c:pivotFmt>
        <c:idx val="2018"/>
      </c:pivotFmt>
      <c:pivotFmt>
        <c:idx val="2019"/>
      </c:pivotFmt>
      <c:pivotFmt>
        <c:idx val="2020"/>
      </c:pivotFmt>
      <c:pivotFmt>
        <c:idx val="2021"/>
      </c:pivotFmt>
      <c:pivotFmt>
        <c:idx val="2022"/>
      </c:pivotFmt>
      <c:pivotFmt>
        <c:idx val="2023"/>
      </c:pivotFmt>
      <c:pivotFmt>
        <c:idx val="2024"/>
      </c:pivotFmt>
      <c:pivotFmt>
        <c:idx val="2025"/>
      </c:pivotFmt>
      <c:pivotFmt>
        <c:idx val="2026"/>
      </c:pivotFmt>
      <c:pivotFmt>
        <c:idx val="2027"/>
      </c:pivotFmt>
      <c:pivotFmt>
        <c:idx val="2028"/>
      </c:pivotFmt>
      <c:pivotFmt>
        <c:idx val="2029"/>
      </c:pivotFmt>
      <c:pivotFmt>
        <c:idx val="2030"/>
      </c:pivotFmt>
      <c:pivotFmt>
        <c:idx val="2031"/>
      </c:pivotFmt>
      <c:pivotFmt>
        <c:idx val="2032"/>
      </c:pivotFmt>
      <c:pivotFmt>
        <c:idx val="2033"/>
      </c:pivotFmt>
      <c:pivotFmt>
        <c:idx val="2034"/>
      </c:pivotFmt>
      <c:pivotFmt>
        <c:idx val="2035"/>
      </c:pivotFmt>
      <c:pivotFmt>
        <c:idx val="2036"/>
      </c:pivotFmt>
      <c:pivotFmt>
        <c:idx val="2037"/>
      </c:pivotFmt>
      <c:pivotFmt>
        <c:idx val="2038"/>
      </c:pivotFmt>
      <c:pivotFmt>
        <c:idx val="2039"/>
      </c:pivotFmt>
      <c:pivotFmt>
        <c:idx val="2040"/>
      </c:pivotFmt>
      <c:pivotFmt>
        <c:idx val="2041"/>
      </c:pivotFmt>
      <c:pivotFmt>
        <c:idx val="2042"/>
      </c:pivotFmt>
      <c:pivotFmt>
        <c:idx val="2043"/>
      </c:pivotFmt>
      <c:pivotFmt>
        <c:idx val="2044"/>
      </c:pivotFmt>
      <c:pivotFmt>
        <c:idx val="2045"/>
      </c:pivotFmt>
      <c:pivotFmt>
        <c:idx val="2046"/>
      </c:pivotFmt>
      <c:pivotFmt>
        <c:idx val="2047"/>
      </c:pivotFmt>
      <c:pivotFmt>
        <c:idx val="2048"/>
      </c:pivotFmt>
      <c:pivotFmt>
        <c:idx val="2049"/>
      </c:pivotFmt>
      <c:pivotFmt>
        <c:idx val="2050"/>
      </c:pivotFmt>
      <c:pivotFmt>
        <c:idx val="2051"/>
      </c:pivotFmt>
      <c:pivotFmt>
        <c:idx val="2052"/>
      </c:pivotFmt>
      <c:pivotFmt>
        <c:idx val="2053"/>
      </c:pivotFmt>
      <c:pivotFmt>
        <c:idx val="2054"/>
      </c:pivotFmt>
      <c:pivotFmt>
        <c:idx val="2055"/>
      </c:pivotFmt>
      <c:pivotFmt>
        <c:idx val="2056"/>
      </c:pivotFmt>
      <c:pivotFmt>
        <c:idx val="2057"/>
      </c:pivotFmt>
      <c:pivotFmt>
        <c:idx val="2058"/>
      </c:pivotFmt>
      <c:pivotFmt>
        <c:idx val="2059"/>
      </c:pivotFmt>
      <c:pivotFmt>
        <c:idx val="2060"/>
      </c:pivotFmt>
      <c:pivotFmt>
        <c:idx val="2061"/>
      </c:pivotFmt>
      <c:pivotFmt>
        <c:idx val="2062"/>
      </c:pivotFmt>
      <c:pivotFmt>
        <c:idx val="2063"/>
      </c:pivotFmt>
      <c:pivotFmt>
        <c:idx val="2064"/>
      </c:pivotFmt>
      <c:pivotFmt>
        <c:idx val="2065"/>
      </c:pivotFmt>
      <c:pivotFmt>
        <c:idx val="2066"/>
      </c:pivotFmt>
      <c:pivotFmt>
        <c:idx val="2067"/>
      </c:pivotFmt>
      <c:pivotFmt>
        <c:idx val="2068"/>
      </c:pivotFmt>
      <c:pivotFmt>
        <c:idx val="2069"/>
      </c:pivotFmt>
      <c:pivotFmt>
        <c:idx val="2070"/>
      </c:pivotFmt>
      <c:pivotFmt>
        <c:idx val="2071"/>
      </c:pivotFmt>
      <c:pivotFmt>
        <c:idx val="2072"/>
      </c:pivotFmt>
      <c:pivotFmt>
        <c:idx val="2073"/>
      </c:pivotFmt>
      <c:pivotFmt>
        <c:idx val="2074"/>
      </c:pivotFmt>
      <c:pivotFmt>
        <c:idx val="2075"/>
      </c:pivotFmt>
      <c:pivotFmt>
        <c:idx val="2076"/>
      </c:pivotFmt>
      <c:pivotFmt>
        <c:idx val="2077"/>
      </c:pivotFmt>
      <c:pivotFmt>
        <c:idx val="2078"/>
      </c:pivotFmt>
      <c:pivotFmt>
        <c:idx val="2079"/>
      </c:pivotFmt>
      <c:pivotFmt>
        <c:idx val="2080"/>
      </c:pivotFmt>
      <c:pivotFmt>
        <c:idx val="2081"/>
      </c:pivotFmt>
      <c:pivotFmt>
        <c:idx val="2082"/>
      </c:pivotFmt>
      <c:pivotFmt>
        <c:idx val="2083"/>
      </c:pivotFmt>
      <c:pivotFmt>
        <c:idx val="2084"/>
      </c:pivotFmt>
      <c:pivotFmt>
        <c:idx val="2085"/>
      </c:pivotFmt>
      <c:pivotFmt>
        <c:idx val="2086"/>
      </c:pivotFmt>
      <c:pivotFmt>
        <c:idx val="2087"/>
      </c:pivotFmt>
      <c:pivotFmt>
        <c:idx val="2088"/>
      </c:pivotFmt>
      <c:pivotFmt>
        <c:idx val="2089"/>
      </c:pivotFmt>
      <c:pivotFmt>
        <c:idx val="2090"/>
      </c:pivotFmt>
      <c:pivotFmt>
        <c:idx val="2091"/>
      </c:pivotFmt>
      <c:pivotFmt>
        <c:idx val="2092"/>
      </c:pivotFmt>
      <c:pivotFmt>
        <c:idx val="2093"/>
      </c:pivotFmt>
      <c:pivotFmt>
        <c:idx val="2094"/>
      </c:pivotFmt>
      <c:pivotFmt>
        <c:idx val="2095"/>
      </c:pivotFmt>
      <c:pivotFmt>
        <c:idx val="2096"/>
      </c:pivotFmt>
      <c:pivotFmt>
        <c:idx val="2097"/>
      </c:pivotFmt>
      <c:pivotFmt>
        <c:idx val="2098"/>
      </c:pivotFmt>
      <c:pivotFmt>
        <c:idx val="2099"/>
      </c:pivotFmt>
      <c:pivotFmt>
        <c:idx val="2100"/>
      </c:pivotFmt>
      <c:pivotFmt>
        <c:idx val="2101"/>
      </c:pivotFmt>
      <c:pivotFmt>
        <c:idx val="2102"/>
      </c:pivotFmt>
      <c:pivotFmt>
        <c:idx val="2103"/>
      </c:pivotFmt>
      <c:pivotFmt>
        <c:idx val="2104"/>
      </c:pivotFmt>
      <c:pivotFmt>
        <c:idx val="2105"/>
      </c:pivotFmt>
      <c:pivotFmt>
        <c:idx val="2106"/>
      </c:pivotFmt>
      <c:pivotFmt>
        <c:idx val="2107"/>
      </c:pivotFmt>
      <c:pivotFmt>
        <c:idx val="2108"/>
      </c:pivotFmt>
      <c:pivotFmt>
        <c:idx val="2109"/>
      </c:pivotFmt>
      <c:pivotFmt>
        <c:idx val="2110"/>
      </c:pivotFmt>
      <c:pivotFmt>
        <c:idx val="2111"/>
      </c:pivotFmt>
      <c:pivotFmt>
        <c:idx val="2112"/>
      </c:pivotFmt>
      <c:pivotFmt>
        <c:idx val="2113"/>
      </c:pivotFmt>
      <c:pivotFmt>
        <c:idx val="2114"/>
      </c:pivotFmt>
      <c:pivotFmt>
        <c:idx val="2115"/>
      </c:pivotFmt>
      <c:pivotFmt>
        <c:idx val="2116"/>
      </c:pivotFmt>
      <c:pivotFmt>
        <c:idx val="2117"/>
      </c:pivotFmt>
      <c:pivotFmt>
        <c:idx val="2118"/>
      </c:pivotFmt>
      <c:pivotFmt>
        <c:idx val="2119"/>
      </c:pivotFmt>
      <c:pivotFmt>
        <c:idx val="2120"/>
      </c:pivotFmt>
      <c:pivotFmt>
        <c:idx val="2121"/>
      </c:pivotFmt>
      <c:pivotFmt>
        <c:idx val="2122"/>
      </c:pivotFmt>
      <c:pivotFmt>
        <c:idx val="2123"/>
      </c:pivotFmt>
      <c:pivotFmt>
        <c:idx val="2124"/>
      </c:pivotFmt>
      <c:pivotFmt>
        <c:idx val="2125"/>
      </c:pivotFmt>
      <c:pivotFmt>
        <c:idx val="2126"/>
      </c:pivotFmt>
      <c:pivotFmt>
        <c:idx val="2127"/>
      </c:pivotFmt>
      <c:pivotFmt>
        <c:idx val="2128"/>
      </c:pivotFmt>
      <c:pivotFmt>
        <c:idx val="2129"/>
      </c:pivotFmt>
      <c:pivotFmt>
        <c:idx val="2130"/>
      </c:pivotFmt>
      <c:pivotFmt>
        <c:idx val="2131"/>
      </c:pivotFmt>
      <c:pivotFmt>
        <c:idx val="2132"/>
      </c:pivotFmt>
      <c:pivotFmt>
        <c:idx val="2133"/>
      </c:pivotFmt>
      <c:pivotFmt>
        <c:idx val="2134"/>
      </c:pivotFmt>
      <c:pivotFmt>
        <c:idx val="2135"/>
      </c:pivotFmt>
      <c:pivotFmt>
        <c:idx val="2136"/>
      </c:pivotFmt>
      <c:pivotFmt>
        <c:idx val="2137"/>
      </c:pivotFmt>
      <c:pivotFmt>
        <c:idx val="2138"/>
      </c:pivotFmt>
      <c:pivotFmt>
        <c:idx val="2139"/>
      </c:pivotFmt>
      <c:pivotFmt>
        <c:idx val="2140"/>
      </c:pivotFmt>
      <c:pivotFmt>
        <c:idx val="2141"/>
      </c:pivotFmt>
      <c:pivotFmt>
        <c:idx val="2142"/>
      </c:pivotFmt>
      <c:pivotFmt>
        <c:idx val="2143"/>
      </c:pivotFmt>
      <c:pivotFmt>
        <c:idx val="2144"/>
      </c:pivotFmt>
      <c:pivotFmt>
        <c:idx val="2145"/>
      </c:pivotFmt>
      <c:pivotFmt>
        <c:idx val="2146"/>
      </c:pivotFmt>
      <c:pivotFmt>
        <c:idx val="2147"/>
      </c:pivotFmt>
      <c:pivotFmt>
        <c:idx val="2148"/>
      </c:pivotFmt>
      <c:pivotFmt>
        <c:idx val="2149"/>
      </c:pivotFmt>
      <c:pivotFmt>
        <c:idx val="2150"/>
      </c:pivotFmt>
      <c:pivotFmt>
        <c:idx val="2151"/>
      </c:pivotFmt>
      <c:pivotFmt>
        <c:idx val="2152"/>
      </c:pivotFmt>
      <c:pivotFmt>
        <c:idx val="2153"/>
      </c:pivotFmt>
      <c:pivotFmt>
        <c:idx val="2154"/>
      </c:pivotFmt>
      <c:pivotFmt>
        <c:idx val="2155"/>
      </c:pivotFmt>
      <c:pivotFmt>
        <c:idx val="2156"/>
      </c:pivotFmt>
      <c:pivotFmt>
        <c:idx val="2157"/>
      </c:pivotFmt>
      <c:pivotFmt>
        <c:idx val="2158"/>
      </c:pivotFmt>
      <c:pivotFmt>
        <c:idx val="2159"/>
      </c:pivotFmt>
      <c:pivotFmt>
        <c:idx val="2160"/>
      </c:pivotFmt>
      <c:pivotFmt>
        <c:idx val="2161"/>
      </c:pivotFmt>
      <c:pivotFmt>
        <c:idx val="2162"/>
      </c:pivotFmt>
      <c:pivotFmt>
        <c:idx val="2163"/>
      </c:pivotFmt>
      <c:pivotFmt>
        <c:idx val="2164"/>
      </c:pivotFmt>
      <c:pivotFmt>
        <c:idx val="2165"/>
      </c:pivotFmt>
      <c:pivotFmt>
        <c:idx val="2166"/>
      </c:pivotFmt>
      <c:pivotFmt>
        <c:idx val="2167"/>
      </c:pivotFmt>
      <c:pivotFmt>
        <c:idx val="2168"/>
      </c:pivotFmt>
      <c:pivotFmt>
        <c:idx val="2169"/>
      </c:pivotFmt>
      <c:pivotFmt>
        <c:idx val="2170"/>
      </c:pivotFmt>
      <c:pivotFmt>
        <c:idx val="2171"/>
      </c:pivotFmt>
      <c:pivotFmt>
        <c:idx val="2172"/>
      </c:pivotFmt>
      <c:pivotFmt>
        <c:idx val="2173"/>
      </c:pivotFmt>
      <c:pivotFmt>
        <c:idx val="2174"/>
      </c:pivotFmt>
      <c:pivotFmt>
        <c:idx val="2175"/>
      </c:pivotFmt>
      <c:pivotFmt>
        <c:idx val="2176"/>
      </c:pivotFmt>
      <c:pivotFmt>
        <c:idx val="2177"/>
      </c:pivotFmt>
      <c:pivotFmt>
        <c:idx val="2178"/>
      </c:pivotFmt>
      <c:pivotFmt>
        <c:idx val="2179"/>
      </c:pivotFmt>
      <c:pivotFmt>
        <c:idx val="2180"/>
      </c:pivotFmt>
      <c:pivotFmt>
        <c:idx val="2181"/>
      </c:pivotFmt>
      <c:pivotFmt>
        <c:idx val="2182"/>
      </c:pivotFmt>
      <c:pivotFmt>
        <c:idx val="2183"/>
      </c:pivotFmt>
      <c:pivotFmt>
        <c:idx val="2184"/>
      </c:pivotFmt>
      <c:pivotFmt>
        <c:idx val="2185"/>
      </c:pivotFmt>
      <c:pivotFmt>
        <c:idx val="2186"/>
      </c:pivotFmt>
      <c:pivotFmt>
        <c:idx val="2187"/>
      </c:pivotFmt>
      <c:pivotFmt>
        <c:idx val="2188"/>
      </c:pivotFmt>
      <c:pivotFmt>
        <c:idx val="2189"/>
      </c:pivotFmt>
      <c:pivotFmt>
        <c:idx val="2190"/>
      </c:pivotFmt>
      <c:pivotFmt>
        <c:idx val="2191"/>
      </c:pivotFmt>
      <c:pivotFmt>
        <c:idx val="2192"/>
      </c:pivotFmt>
      <c:pivotFmt>
        <c:idx val="2193"/>
      </c:pivotFmt>
      <c:pivotFmt>
        <c:idx val="2194"/>
      </c:pivotFmt>
      <c:pivotFmt>
        <c:idx val="2195"/>
      </c:pivotFmt>
      <c:pivotFmt>
        <c:idx val="2196"/>
      </c:pivotFmt>
      <c:pivotFmt>
        <c:idx val="2197"/>
      </c:pivotFmt>
      <c:pivotFmt>
        <c:idx val="2198"/>
      </c:pivotFmt>
      <c:pivotFmt>
        <c:idx val="2199"/>
      </c:pivotFmt>
      <c:pivotFmt>
        <c:idx val="2200"/>
      </c:pivotFmt>
      <c:pivotFmt>
        <c:idx val="2201"/>
      </c:pivotFmt>
      <c:pivotFmt>
        <c:idx val="2202"/>
      </c:pivotFmt>
      <c:pivotFmt>
        <c:idx val="2203"/>
      </c:pivotFmt>
      <c:pivotFmt>
        <c:idx val="2204"/>
      </c:pivotFmt>
      <c:pivotFmt>
        <c:idx val="2205"/>
      </c:pivotFmt>
      <c:pivotFmt>
        <c:idx val="2206"/>
      </c:pivotFmt>
      <c:pivotFmt>
        <c:idx val="2207"/>
      </c:pivotFmt>
      <c:pivotFmt>
        <c:idx val="2208"/>
      </c:pivotFmt>
      <c:pivotFmt>
        <c:idx val="2209"/>
      </c:pivotFmt>
      <c:pivotFmt>
        <c:idx val="2210"/>
      </c:pivotFmt>
      <c:pivotFmt>
        <c:idx val="2211"/>
      </c:pivotFmt>
      <c:pivotFmt>
        <c:idx val="2212"/>
      </c:pivotFmt>
      <c:pivotFmt>
        <c:idx val="2213"/>
      </c:pivotFmt>
      <c:pivotFmt>
        <c:idx val="2214"/>
        <c:dLbl>
          <c:idx val="0"/>
          <c:showLegendKey val="0"/>
          <c:showVal val="0"/>
          <c:showCatName val="0"/>
          <c:showSerName val="0"/>
          <c:showPercent val="0"/>
          <c:showBubbleSize val="0"/>
          <c:extLst>
            <c:ext xmlns:c15="http://schemas.microsoft.com/office/drawing/2012/chart" uri="{CE6537A1-D6FC-4f65-9D91-7224C49458BB}"/>
          </c:extLst>
        </c:dLbl>
      </c:pivotFmt>
      <c:pivotFmt>
        <c:idx val="2215"/>
      </c:pivotFmt>
      <c:pivotFmt>
        <c:idx val="2216"/>
      </c:pivotFmt>
      <c:pivotFmt>
        <c:idx val="2217"/>
      </c:pivotFmt>
      <c:pivotFmt>
        <c:idx val="2218"/>
      </c:pivotFmt>
      <c:pivotFmt>
        <c:idx val="2219"/>
      </c:pivotFmt>
      <c:pivotFmt>
        <c:idx val="2220"/>
      </c:pivotFmt>
      <c:pivotFmt>
        <c:idx val="2221"/>
      </c:pivotFmt>
      <c:pivotFmt>
        <c:idx val="2222"/>
      </c:pivotFmt>
      <c:pivotFmt>
        <c:idx val="2223"/>
      </c:pivotFmt>
      <c:pivotFmt>
        <c:idx val="2224"/>
      </c:pivotFmt>
      <c:pivotFmt>
        <c:idx val="2225"/>
      </c:pivotFmt>
      <c:pivotFmt>
        <c:idx val="2226"/>
      </c:pivotFmt>
      <c:pivotFmt>
        <c:idx val="2227"/>
      </c:pivotFmt>
      <c:pivotFmt>
        <c:idx val="2228"/>
      </c:pivotFmt>
      <c:pivotFmt>
        <c:idx val="2229"/>
      </c:pivotFmt>
      <c:pivotFmt>
        <c:idx val="2230"/>
      </c:pivotFmt>
      <c:pivotFmt>
        <c:idx val="2231"/>
      </c:pivotFmt>
      <c:pivotFmt>
        <c:idx val="2232"/>
      </c:pivotFmt>
      <c:pivotFmt>
        <c:idx val="2233"/>
      </c:pivotFmt>
      <c:pivotFmt>
        <c:idx val="2234"/>
      </c:pivotFmt>
      <c:pivotFmt>
        <c:idx val="2235"/>
      </c:pivotFmt>
      <c:pivotFmt>
        <c:idx val="2236"/>
      </c:pivotFmt>
      <c:pivotFmt>
        <c:idx val="2237"/>
      </c:pivotFmt>
      <c:pivotFmt>
        <c:idx val="2238"/>
      </c:pivotFmt>
      <c:pivotFmt>
        <c:idx val="2239"/>
      </c:pivotFmt>
      <c:pivotFmt>
        <c:idx val="2240"/>
      </c:pivotFmt>
      <c:pivotFmt>
        <c:idx val="2241"/>
      </c:pivotFmt>
      <c:pivotFmt>
        <c:idx val="2242"/>
      </c:pivotFmt>
      <c:pivotFmt>
        <c:idx val="2243"/>
      </c:pivotFmt>
      <c:pivotFmt>
        <c:idx val="2244"/>
      </c:pivotFmt>
      <c:pivotFmt>
        <c:idx val="2245"/>
      </c:pivotFmt>
      <c:pivotFmt>
        <c:idx val="2246"/>
      </c:pivotFmt>
      <c:pivotFmt>
        <c:idx val="2247"/>
      </c:pivotFmt>
      <c:pivotFmt>
        <c:idx val="2248"/>
      </c:pivotFmt>
      <c:pivotFmt>
        <c:idx val="2249"/>
      </c:pivotFmt>
      <c:pivotFmt>
        <c:idx val="2250"/>
      </c:pivotFmt>
      <c:pivotFmt>
        <c:idx val="2251"/>
      </c:pivotFmt>
      <c:pivotFmt>
        <c:idx val="2252"/>
      </c:pivotFmt>
      <c:pivotFmt>
        <c:idx val="2253"/>
      </c:pivotFmt>
      <c:pivotFmt>
        <c:idx val="2254"/>
      </c:pivotFmt>
      <c:pivotFmt>
        <c:idx val="2255"/>
      </c:pivotFmt>
      <c:pivotFmt>
        <c:idx val="2256"/>
      </c:pivotFmt>
      <c:pivotFmt>
        <c:idx val="2257"/>
      </c:pivotFmt>
      <c:pivotFmt>
        <c:idx val="2258"/>
      </c:pivotFmt>
      <c:pivotFmt>
        <c:idx val="2259"/>
      </c:pivotFmt>
      <c:pivotFmt>
        <c:idx val="2260"/>
      </c:pivotFmt>
      <c:pivotFmt>
        <c:idx val="2261"/>
      </c:pivotFmt>
      <c:pivotFmt>
        <c:idx val="2262"/>
      </c:pivotFmt>
      <c:pivotFmt>
        <c:idx val="2263"/>
      </c:pivotFmt>
      <c:pivotFmt>
        <c:idx val="2264"/>
      </c:pivotFmt>
      <c:pivotFmt>
        <c:idx val="2265"/>
      </c:pivotFmt>
      <c:pivotFmt>
        <c:idx val="2266"/>
      </c:pivotFmt>
      <c:pivotFmt>
        <c:idx val="2267"/>
      </c:pivotFmt>
      <c:pivotFmt>
        <c:idx val="2268"/>
      </c:pivotFmt>
      <c:pivotFmt>
        <c:idx val="2269"/>
      </c:pivotFmt>
      <c:pivotFmt>
        <c:idx val="2270"/>
      </c:pivotFmt>
      <c:pivotFmt>
        <c:idx val="2271"/>
      </c:pivotFmt>
      <c:pivotFmt>
        <c:idx val="2272"/>
      </c:pivotFmt>
      <c:pivotFmt>
        <c:idx val="2273"/>
      </c:pivotFmt>
      <c:pivotFmt>
        <c:idx val="2274"/>
      </c:pivotFmt>
      <c:pivotFmt>
        <c:idx val="2275"/>
      </c:pivotFmt>
      <c:pivotFmt>
        <c:idx val="2276"/>
      </c:pivotFmt>
      <c:pivotFmt>
        <c:idx val="2277"/>
      </c:pivotFmt>
      <c:pivotFmt>
        <c:idx val="2278"/>
      </c:pivotFmt>
      <c:pivotFmt>
        <c:idx val="2279"/>
      </c:pivotFmt>
      <c:pivotFmt>
        <c:idx val="2280"/>
      </c:pivotFmt>
      <c:pivotFmt>
        <c:idx val="2281"/>
      </c:pivotFmt>
      <c:pivotFmt>
        <c:idx val="2282"/>
      </c:pivotFmt>
      <c:pivotFmt>
        <c:idx val="2283"/>
      </c:pivotFmt>
      <c:pivotFmt>
        <c:idx val="2284"/>
      </c:pivotFmt>
      <c:pivotFmt>
        <c:idx val="2285"/>
      </c:pivotFmt>
      <c:pivotFmt>
        <c:idx val="2286"/>
      </c:pivotFmt>
      <c:pivotFmt>
        <c:idx val="2287"/>
      </c:pivotFmt>
      <c:pivotFmt>
        <c:idx val="2288"/>
      </c:pivotFmt>
      <c:pivotFmt>
        <c:idx val="2289"/>
      </c:pivotFmt>
      <c:pivotFmt>
        <c:idx val="2290"/>
      </c:pivotFmt>
      <c:pivotFmt>
        <c:idx val="2291"/>
      </c:pivotFmt>
      <c:pivotFmt>
        <c:idx val="2292"/>
      </c:pivotFmt>
      <c:pivotFmt>
        <c:idx val="2293"/>
      </c:pivotFmt>
      <c:pivotFmt>
        <c:idx val="2294"/>
      </c:pivotFmt>
      <c:pivotFmt>
        <c:idx val="2295"/>
      </c:pivotFmt>
      <c:pivotFmt>
        <c:idx val="2296"/>
      </c:pivotFmt>
      <c:pivotFmt>
        <c:idx val="2297"/>
      </c:pivotFmt>
      <c:pivotFmt>
        <c:idx val="2298"/>
      </c:pivotFmt>
      <c:pivotFmt>
        <c:idx val="2299"/>
      </c:pivotFmt>
      <c:pivotFmt>
        <c:idx val="2300"/>
      </c:pivotFmt>
      <c:pivotFmt>
        <c:idx val="2301"/>
      </c:pivotFmt>
      <c:pivotFmt>
        <c:idx val="2302"/>
      </c:pivotFmt>
      <c:pivotFmt>
        <c:idx val="2303"/>
      </c:pivotFmt>
      <c:pivotFmt>
        <c:idx val="2304"/>
      </c:pivotFmt>
      <c:pivotFmt>
        <c:idx val="2305"/>
      </c:pivotFmt>
      <c:pivotFmt>
        <c:idx val="2306"/>
      </c:pivotFmt>
      <c:pivotFmt>
        <c:idx val="2307"/>
      </c:pivotFmt>
      <c:pivotFmt>
        <c:idx val="2308"/>
      </c:pivotFmt>
      <c:pivotFmt>
        <c:idx val="2309"/>
      </c:pivotFmt>
      <c:pivotFmt>
        <c:idx val="2310"/>
      </c:pivotFmt>
      <c:pivotFmt>
        <c:idx val="2311"/>
      </c:pivotFmt>
      <c:pivotFmt>
        <c:idx val="2312"/>
      </c:pivotFmt>
      <c:pivotFmt>
        <c:idx val="2313"/>
      </c:pivotFmt>
      <c:pivotFmt>
        <c:idx val="2314"/>
      </c:pivotFmt>
      <c:pivotFmt>
        <c:idx val="2315"/>
      </c:pivotFmt>
      <c:pivotFmt>
        <c:idx val="2316"/>
      </c:pivotFmt>
      <c:pivotFmt>
        <c:idx val="2317"/>
      </c:pivotFmt>
      <c:pivotFmt>
        <c:idx val="2318"/>
      </c:pivotFmt>
      <c:pivotFmt>
        <c:idx val="2319"/>
      </c:pivotFmt>
      <c:pivotFmt>
        <c:idx val="2320"/>
      </c:pivotFmt>
      <c:pivotFmt>
        <c:idx val="2321"/>
      </c:pivotFmt>
      <c:pivotFmt>
        <c:idx val="2322"/>
      </c:pivotFmt>
      <c:pivotFmt>
        <c:idx val="2323"/>
      </c:pivotFmt>
      <c:pivotFmt>
        <c:idx val="2324"/>
      </c:pivotFmt>
      <c:pivotFmt>
        <c:idx val="2325"/>
      </c:pivotFmt>
      <c:pivotFmt>
        <c:idx val="2326"/>
      </c:pivotFmt>
      <c:pivotFmt>
        <c:idx val="2327"/>
      </c:pivotFmt>
      <c:pivotFmt>
        <c:idx val="2328"/>
      </c:pivotFmt>
      <c:pivotFmt>
        <c:idx val="2329"/>
      </c:pivotFmt>
      <c:pivotFmt>
        <c:idx val="2330"/>
      </c:pivotFmt>
      <c:pivotFmt>
        <c:idx val="2331"/>
      </c:pivotFmt>
      <c:pivotFmt>
        <c:idx val="2332"/>
      </c:pivotFmt>
      <c:pivotFmt>
        <c:idx val="2333"/>
      </c:pivotFmt>
      <c:pivotFmt>
        <c:idx val="2334"/>
      </c:pivotFmt>
      <c:pivotFmt>
        <c:idx val="2335"/>
      </c:pivotFmt>
      <c:pivotFmt>
        <c:idx val="2336"/>
      </c:pivotFmt>
      <c:pivotFmt>
        <c:idx val="2337"/>
      </c:pivotFmt>
      <c:pivotFmt>
        <c:idx val="2338"/>
      </c:pivotFmt>
      <c:pivotFmt>
        <c:idx val="2339"/>
      </c:pivotFmt>
      <c:pivotFmt>
        <c:idx val="2340"/>
      </c:pivotFmt>
      <c:pivotFmt>
        <c:idx val="2341"/>
      </c:pivotFmt>
      <c:pivotFmt>
        <c:idx val="2342"/>
      </c:pivotFmt>
      <c:pivotFmt>
        <c:idx val="2343"/>
      </c:pivotFmt>
      <c:pivotFmt>
        <c:idx val="2344"/>
      </c:pivotFmt>
      <c:pivotFmt>
        <c:idx val="2345"/>
      </c:pivotFmt>
      <c:pivotFmt>
        <c:idx val="2346"/>
      </c:pivotFmt>
      <c:pivotFmt>
        <c:idx val="2347"/>
      </c:pivotFmt>
      <c:pivotFmt>
        <c:idx val="2348"/>
      </c:pivotFmt>
      <c:pivotFmt>
        <c:idx val="2349"/>
      </c:pivotFmt>
      <c:pivotFmt>
        <c:idx val="2350"/>
      </c:pivotFmt>
      <c:pivotFmt>
        <c:idx val="2351"/>
      </c:pivotFmt>
      <c:pivotFmt>
        <c:idx val="2352"/>
      </c:pivotFmt>
      <c:pivotFmt>
        <c:idx val="2353"/>
      </c:pivotFmt>
      <c:pivotFmt>
        <c:idx val="2354"/>
      </c:pivotFmt>
      <c:pivotFmt>
        <c:idx val="2355"/>
      </c:pivotFmt>
      <c:pivotFmt>
        <c:idx val="2356"/>
      </c:pivotFmt>
      <c:pivotFmt>
        <c:idx val="2357"/>
      </c:pivotFmt>
      <c:pivotFmt>
        <c:idx val="2358"/>
      </c:pivotFmt>
      <c:pivotFmt>
        <c:idx val="2359"/>
      </c:pivotFmt>
      <c:pivotFmt>
        <c:idx val="2360"/>
      </c:pivotFmt>
      <c:pivotFmt>
        <c:idx val="2361"/>
      </c:pivotFmt>
      <c:pivotFmt>
        <c:idx val="2362"/>
      </c:pivotFmt>
      <c:pivotFmt>
        <c:idx val="2363"/>
      </c:pivotFmt>
      <c:pivotFmt>
        <c:idx val="2364"/>
      </c:pivotFmt>
      <c:pivotFmt>
        <c:idx val="2365"/>
      </c:pivotFmt>
      <c:pivotFmt>
        <c:idx val="2366"/>
      </c:pivotFmt>
      <c:pivotFmt>
        <c:idx val="2367"/>
      </c:pivotFmt>
      <c:pivotFmt>
        <c:idx val="2368"/>
      </c:pivotFmt>
      <c:pivotFmt>
        <c:idx val="2369"/>
      </c:pivotFmt>
      <c:pivotFmt>
        <c:idx val="2370"/>
      </c:pivotFmt>
      <c:pivotFmt>
        <c:idx val="2371"/>
      </c:pivotFmt>
      <c:pivotFmt>
        <c:idx val="2372"/>
      </c:pivotFmt>
      <c:pivotFmt>
        <c:idx val="2373"/>
      </c:pivotFmt>
      <c:pivotFmt>
        <c:idx val="2374"/>
      </c:pivotFmt>
      <c:pivotFmt>
        <c:idx val="2375"/>
      </c:pivotFmt>
      <c:pivotFmt>
        <c:idx val="2376"/>
      </c:pivotFmt>
      <c:pivotFmt>
        <c:idx val="2377"/>
      </c:pivotFmt>
      <c:pivotFmt>
        <c:idx val="2378"/>
      </c:pivotFmt>
      <c:pivotFmt>
        <c:idx val="2379"/>
      </c:pivotFmt>
      <c:pivotFmt>
        <c:idx val="2380"/>
      </c:pivotFmt>
      <c:pivotFmt>
        <c:idx val="2381"/>
      </c:pivotFmt>
      <c:pivotFmt>
        <c:idx val="2382"/>
      </c:pivotFmt>
      <c:pivotFmt>
        <c:idx val="2383"/>
      </c:pivotFmt>
      <c:pivotFmt>
        <c:idx val="2384"/>
      </c:pivotFmt>
      <c:pivotFmt>
        <c:idx val="2385"/>
      </c:pivotFmt>
      <c:pivotFmt>
        <c:idx val="2386"/>
      </c:pivotFmt>
      <c:pivotFmt>
        <c:idx val="2387"/>
      </c:pivotFmt>
      <c:pivotFmt>
        <c:idx val="2388"/>
      </c:pivotFmt>
      <c:pivotFmt>
        <c:idx val="2389"/>
      </c:pivotFmt>
      <c:pivotFmt>
        <c:idx val="2390"/>
      </c:pivotFmt>
      <c:pivotFmt>
        <c:idx val="2391"/>
      </c:pivotFmt>
      <c:pivotFmt>
        <c:idx val="2392"/>
      </c:pivotFmt>
      <c:pivotFmt>
        <c:idx val="2393"/>
      </c:pivotFmt>
      <c:pivotFmt>
        <c:idx val="2394"/>
      </c:pivotFmt>
      <c:pivotFmt>
        <c:idx val="2395"/>
      </c:pivotFmt>
      <c:pivotFmt>
        <c:idx val="2396"/>
      </c:pivotFmt>
      <c:pivotFmt>
        <c:idx val="2397"/>
      </c:pivotFmt>
      <c:pivotFmt>
        <c:idx val="2398"/>
      </c:pivotFmt>
      <c:pivotFmt>
        <c:idx val="2399"/>
      </c:pivotFmt>
      <c:pivotFmt>
        <c:idx val="2400"/>
      </c:pivotFmt>
      <c:pivotFmt>
        <c:idx val="2401"/>
      </c:pivotFmt>
      <c:pivotFmt>
        <c:idx val="2402"/>
      </c:pivotFmt>
      <c:pivotFmt>
        <c:idx val="2403"/>
      </c:pivotFmt>
      <c:pivotFmt>
        <c:idx val="2404"/>
      </c:pivotFmt>
      <c:pivotFmt>
        <c:idx val="2405"/>
      </c:pivotFmt>
      <c:pivotFmt>
        <c:idx val="2406"/>
      </c:pivotFmt>
      <c:pivotFmt>
        <c:idx val="2407"/>
      </c:pivotFmt>
      <c:pivotFmt>
        <c:idx val="2408"/>
      </c:pivotFmt>
      <c:pivotFmt>
        <c:idx val="2409"/>
      </c:pivotFmt>
      <c:pivotFmt>
        <c:idx val="2410"/>
      </c:pivotFmt>
      <c:pivotFmt>
        <c:idx val="2411"/>
      </c:pivotFmt>
      <c:pivotFmt>
        <c:idx val="2412"/>
      </c:pivotFmt>
      <c:pivotFmt>
        <c:idx val="2413"/>
      </c:pivotFmt>
      <c:pivotFmt>
        <c:idx val="2414"/>
      </c:pivotFmt>
      <c:pivotFmt>
        <c:idx val="2415"/>
      </c:pivotFmt>
      <c:pivotFmt>
        <c:idx val="2416"/>
      </c:pivotFmt>
      <c:pivotFmt>
        <c:idx val="2417"/>
      </c:pivotFmt>
      <c:pivotFmt>
        <c:idx val="2418"/>
      </c:pivotFmt>
      <c:pivotFmt>
        <c:idx val="2419"/>
      </c:pivotFmt>
      <c:pivotFmt>
        <c:idx val="2420"/>
      </c:pivotFmt>
      <c:pivotFmt>
        <c:idx val="2421"/>
      </c:pivotFmt>
      <c:pivotFmt>
        <c:idx val="2422"/>
      </c:pivotFmt>
      <c:pivotFmt>
        <c:idx val="2423"/>
      </c:pivotFmt>
      <c:pivotFmt>
        <c:idx val="2424"/>
      </c:pivotFmt>
      <c:pivotFmt>
        <c:idx val="2425"/>
      </c:pivotFmt>
      <c:pivotFmt>
        <c:idx val="2426"/>
      </c:pivotFmt>
      <c:pivotFmt>
        <c:idx val="2427"/>
      </c:pivotFmt>
      <c:pivotFmt>
        <c:idx val="2428"/>
      </c:pivotFmt>
      <c:pivotFmt>
        <c:idx val="2429"/>
      </c:pivotFmt>
      <c:pivotFmt>
        <c:idx val="2430"/>
      </c:pivotFmt>
      <c:pivotFmt>
        <c:idx val="2431"/>
      </c:pivotFmt>
      <c:pivotFmt>
        <c:idx val="2432"/>
      </c:pivotFmt>
      <c:pivotFmt>
        <c:idx val="2433"/>
      </c:pivotFmt>
      <c:pivotFmt>
        <c:idx val="2434"/>
      </c:pivotFmt>
      <c:pivotFmt>
        <c:idx val="2435"/>
      </c:pivotFmt>
      <c:pivotFmt>
        <c:idx val="2436"/>
      </c:pivotFmt>
      <c:pivotFmt>
        <c:idx val="2437"/>
      </c:pivotFmt>
      <c:pivotFmt>
        <c:idx val="2438"/>
      </c:pivotFmt>
      <c:pivotFmt>
        <c:idx val="2439"/>
      </c:pivotFmt>
      <c:pivotFmt>
        <c:idx val="2440"/>
      </c:pivotFmt>
      <c:pivotFmt>
        <c:idx val="2441"/>
      </c:pivotFmt>
      <c:pivotFmt>
        <c:idx val="2442"/>
      </c:pivotFmt>
      <c:pivotFmt>
        <c:idx val="2443"/>
      </c:pivotFmt>
      <c:pivotFmt>
        <c:idx val="2444"/>
      </c:pivotFmt>
      <c:pivotFmt>
        <c:idx val="2445"/>
      </c:pivotFmt>
      <c:pivotFmt>
        <c:idx val="2446"/>
      </c:pivotFmt>
      <c:pivotFmt>
        <c:idx val="2447"/>
      </c:pivotFmt>
      <c:pivotFmt>
        <c:idx val="2448"/>
      </c:pivotFmt>
      <c:pivotFmt>
        <c:idx val="2449"/>
      </c:pivotFmt>
      <c:pivotFmt>
        <c:idx val="2450"/>
      </c:pivotFmt>
      <c:pivotFmt>
        <c:idx val="2451"/>
      </c:pivotFmt>
      <c:pivotFmt>
        <c:idx val="2452"/>
      </c:pivotFmt>
      <c:pivotFmt>
        <c:idx val="2453"/>
      </c:pivotFmt>
      <c:pivotFmt>
        <c:idx val="2454"/>
      </c:pivotFmt>
      <c:pivotFmt>
        <c:idx val="2455"/>
      </c:pivotFmt>
      <c:pivotFmt>
        <c:idx val="2456"/>
      </c:pivotFmt>
      <c:pivotFmt>
        <c:idx val="2457"/>
      </c:pivotFmt>
      <c:pivotFmt>
        <c:idx val="2458"/>
      </c:pivotFmt>
      <c:pivotFmt>
        <c:idx val="2459"/>
      </c:pivotFmt>
      <c:pivotFmt>
        <c:idx val="2460"/>
      </c:pivotFmt>
      <c:pivotFmt>
        <c:idx val="2461"/>
      </c:pivotFmt>
      <c:pivotFmt>
        <c:idx val="2462"/>
      </c:pivotFmt>
      <c:pivotFmt>
        <c:idx val="2463"/>
      </c:pivotFmt>
      <c:pivotFmt>
        <c:idx val="2464"/>
      </c:pivotFmt>
      <c:pivotFmt>
        <c:idx val="2465"/>
      </c:pivotFmt>
      <c:pivotFmt>
        <c:idx val="2466"/>
      </c:pivotFmt>
      <c:pivotFmt>
        <c:idx val="2467"/>
      </c:pivotFmt>
      <c:pivotFmt>
        <c:idx val="2468"/>
      </c:pivotFmt>
      <c:pivotFmt>
        <c:idx val="2469"/>
      </c:pivotFmt>
      <c:pivotFmt>
        <c:idx val="2470"/>
      </c:pivotFmt>
      <c:pivotFmt>
        <c:idx val="2471"/>
      </c:pivotFmt>
      <c:pivotFmt>
        <c:idx val="2472"/>
      </c:pivotFmt>
      <c:pivotFmt>
        <c:idx val="2473"/>
      </c:pivotFmt>
      <c:pivotFmt>
        <c:idx val="2474"/>
      </c:pivotFmt>
      <c:pivotFmt>
        <c:idx val="2475"/>
      </c:pivotFmt>
      <c:pivotFmt>
        <c:idx val="2476"/>
      </c:pivotFmt>
      <c:pivotFmt>
        <c:idx val="2477"/>
      </c:pivotFmt>
      <c:pivotFmt>
        <c:idx val="2478"/>
      </c:pivotFmt>
      <c:pivotFmt>
        <c:idx val="2479"/>
      </c:pivotFmt>
      <c:pivotFmt>
        <c:idx val="2480"/>
      </c:pivotFmt>
      <c:pivotFmt>
        <c:idx val="2481"/>
      </c:pivotFmt>
      <c:pivotFmt>
        <c:idx val="2482"/>
      </c:pivotFmt>
      <c:pivotFmt>
        <c:idx val="2483"/>
      </c:pivotFmt>
      <c:pivotFmt>
        <c:idx val="2484"/>
      </c:pivotFmt>
      <c:pivotFmt>
        <c:idx val="2485"/>
      </c:pivotFmt>
      <c:pivotFmt>
        <c:idx val="2486"/>
      </c:pivotFmt>
      <c:pivotFmt>
        <c:idx val="2487"/>
      </c:pivotFmt>
      <c:pivotFmt>
        <c:idx val="2488"/>
      </c:pivotFmt>
      <c:pivotFmt>
        <c:idx val="2489"/>
      </c:pivotFmt>
      <c:pivotFmt>
        <c:idx val="2490"/>
      </c:pivotFmt>
      <c:pivotFmt>
        <c:idx val="2491"/>
      </c:pivotFmt>
      <c:pivotFmt>
        <c:idx val="2492"/>
      </c:pivotFmt>
      <c:pivotFmt>
        <c:idx val="2493"/>
      </c:pivotFmt>
      <c:pivotFmt>
        <c:idx val="2494"/>
      </c:pivotFmt>
      <c:pivotFmt>
        <c:idx val="2495"/>
      </c:pivotFmt>
      <c:pivotFmt>
        <c:idx val="2496"/>
      </c:pivotFmt>
      <c:pivotFmt>
        <c:idx val="2497"/>
      </c:pivotFmt>
      <c:pivotFmt>
        <c:idx val="2498"/>
      </c:pivotFmt>
      <c:pivotFmt>
        <c:idx val="2499"/>
      </c:pivotFmt>
      <c:pivotFmt>
        <c:idx val="2500"/>
      </c:pivotFmt>
      <c:pivotFmt>
        <c:idx val="2501"/>
      </c:pivotFmt>
      <c:pivotFmt>
        <c:idx val="2502"/>
      </c:pivotFmt>
      <c:pivotFmt>
        <c:idx val="2503"/>
      </c:pivotFmt>
      <c:pivotFmt>
        <c:idx val="2504"/>
      </c:pivotFmt>
      <c:pivotFmt>
        <c:idx val="2505"/>
      </c:pivotFmt>
      <c:pivotFmt>
        <c:idx val="2506"/>
      </c:pivotFmt>
      <c:pivotFmt>
        <c:idx val="2507"/>
      </c:pivotFmt>
      <c:pivotFmt>
        <c:idx val="2508"/>
      </c:pivotFmt>
      <c:pivotFmt>
        <c:idx val="2509"/>
      </c:pivotFmt>
      <c:pivotFmt>
        <c:idx val="2510"/>
      </c:pivotFmt>
      <c:pivotFmt>
        <c:idx val="2511"/>
      </c:pivotFmt>
      <c:pivotFmt>
        <c:idx val="2512"/>
      </c:pivotFmt>
      <c:pivotFmt>
        <c:idx val="2513"/>
      </c:pivotFmt>
      <c:pivotFmt>
        <c:idx val="2514"/>
      </c:pivotFmt>
      <c:pivotFmt>
        <c:idx val="2515"/>
      </c:pivotFmt>
      <c:pivotFmt>
        <c:idx val="2516"/>
      </c:pivotFmt>
      <c:pivotFmt>
        <c:idx val="2517"/>
      </c:pivotFmt>
      <c:pivotFmt>
        <c:idx val="2518"/>
      </c:pivotFmt>
      <c:pivotFmt>
        <c:idx val="2519"/>
      </c:pivotFmt>
      <c:pivotFmt>
        <c:idx val="2520"/>
      </c:pivotFmt>
      <c:pivotFmt>
        <c:idx val="2521"/>
      </c:pivotFmt>
      <c:pivotFmt>
        <c:idx val="2522"/>
      </c:pivotFmt>
      <c:pivotFmt>
        <c:idx val="2523"/>
      </c:pivotFmt>
      <c:pivotFmt>
        <c:idx val="2524"/>
      </c:pivotFmt>
      <c:pivotFmt>
        <c:idx val="2525"/>
      </c:pivotFmt>
      <c:pivotFmt>
        <c:idx val="2526"/>
      </c:pivotFmt>
      <c:pivotFmt>
        <c:idx val="2527"/>
      </c:pivotFmt>
      <c:pivotFmt>
        <c:idx val="2528"/>
      </c:pivotFmt>
      <c:pivotFmt>
        <c:idx val="2529"/>
      </c:pivotFmt>
      <c:pivotFmt>
        <c:idx val="2530"/>
      </c:pivotFmt>
      <c:pivotFmt>
        <c:idx val="2531"/>
      </c:pivotFmt>
      <c:pivotFmt>
        <c:idx val="2532"/>
      </c:pivotFmt>
      <c:pivotFmt>
        <c:idx val="2533"/>
      </c:pivotFmt>
      <c:pivotFmt>
        <c:idx val="2534"/>
      </c:pivotFmt>
      <c:pivotFmt>
        <c:idx val="2535"/>
      </c:pivotFmt>
      <c:pivotFmt>
        <c:idx val="2536"/>
      </c:pivotFmt>
      <c:pivotFmt>
        <c:idx val="2537"/>
      </c:pivotFmt>
      <c:pivotFmt>
        <c:idx val="2538"/>
      </c:pivotFmt>
      <c:pivotFmt>
        <c:idx val="2539"/>
      </c:pivotFmt>
      <c:pivotFmt>
        <c:idx val="2540"/>
      </c:pivotFmt>
      <c:pivotFmt>
        <c:idx val="2541"/>
      </c:pivotFmt>
      <c:pivotFmt>
        <c:idx val="2542"/>
      </c:pivotFmt>
      <c:pivotFmt>
        <c:idx val="2543"/>
      </c:pivotFmt>
      <c:pivotFmt>
        <c:idx val="2544"/>
      </c:pivotFmt>
      <c:pivotFmt>
        <c:idx val="2545"/>
      </c:pivotFmt>
      <c:pivotFmt>
        <c:idx val="2546"/>
      </c:pivotFmt>
      <c:pivotFmt>
        <c:idx val="2547"/>
      </c:pivotFmt>
      <c:pivotFmt>
        <c:idx val="2548"/>
      </c:pivotFmt>
      <c:pivotFmt>
        <c:idx val="2549"/>
      </c:pivotFmt>
      <c:pivotFmt>
        <c:idx val="2550"/>
      </c:pivotFmt>
      <c:pivotFmt>
        <c:idx val="2551"/>
      </c:pivotFmt>
      <c:pivotFmt>
        <c:idx val="2552"/>
      </c:pivotFmt>
      <c:pivotFmt>
        <c:idx val="2553"/>
      </c:pivotFmt>
      <c:pivotFmt>
        <c:idx val="2554"/>
      </c:pivotFmt>
      <c:pivotFmt>
        <c:idx val="2555"/>
      </c:pivotFmt>
      <c:pivotFmt>
        <c:idx val="2556"/>
      </c:pivotFmt>
      <c:pivotFmt>
        <c:idx val="2557"/>
      </c:pivotFmt>
      <c:pivotFmt>
        <c:idx val="2558"/>
      </c:pivotFmt>
      <c:pivotFmt>
        <c:idx val="2559"/>
      </c:pivotFmt>
      <c:pivotFmt>
        <c:idx val="2560"/>
      </c:pivotFmt>
      <c:pivotFmt>
        <c:idx val="2561"/>
      </c:pivotFmt>
      <c:pivotFmt>
        <c:idx val="2562"/>
      </c:pivotFmt>
      <c:pivotFmt>
        <c:idx val="2563"/>
      </c:pivotFmt>
      <c:pivotFmt>
        <c:idx val="2564"/>
      </c:pivotFmt>
      <c:pivotFmt>
        <c:idx val="2565"/>
      </c:pivotFmt>
      <c:pivotFmt>
        <c:idx val="2566"/>
      </c:pivotFmt>
      <c:pivotFmt>
        <c:idx val="2567"/>
      </c:pivotFmt>
      <c:pivotFmt>
        <c:idx val="2568"/>
      </c:pivotFmt>
      <c:pivotFmt>
        <c:idx val="2569"/>
      </c:pivotFmt>
      <c:pivotFmt>
        <c:idx val="2570"/>
      </c:pivotFmt>
      <c:pivotFmt>
        <c:idx val="2571"/>
      </c:pivotFmt>
      <c:pivotFmt>
        <c:idx val="2572"/>
      </c:pivotFmt>
      <c:pivotFmt>
        <c:idx val="2573"/>
      </c:pivotFmt>
      <c:pivotFmt>
        <c:idx val="2574"/>
      </c:pivotFmt>
      <c:pivotFmt>
        <c:idx val="2575"/>
      </c:pivotFmt>
      <c:pivotFmt>
        <c:idx val="2576"/>
      </c:pivotFmt>
      <c:pivotFmt>
        <c:idx val="2577"/>
      </c:pivotFmt>
      <c:pivotFmt>
        <c:idx val="2578"/>
      </c:pivotFmt>
      <c:pivotFmt>
        <c:idx val="2579"/>
      </c:pivotFmt>
      <c:pivotFmt>
        <c:idx val="2580"/>
      </c:pivotFmt>
      <c:pivotFmt>
        <c:idx val="2581"/>
      </c:pivotFmt>
      <c:pivotFmt>
        <c:idx val="2582"/>
      </c:pivotFmt>
      <c:pivotFmt>
        <c:idx val="2583"/>
      </c:pivotFmt>
      <c:pivotFmt>
        <c:idx val="2584"/>
      </c:pivotFmt>
      <c:pivotFmt>
        <c:idx val="2585"/>
      </c:pivotFmt>
      <c:pivotFmt>
        <c:idx val="2586"/>
      </c:pivotFmt>
      <c:pivotFmt>
        <c:idx val="2587"/>
      </c:pivotFmt>
      <c:pivotFmt>
        <c:idx val="2588"/>
      </c:pivotFmt>
      <c:pivotFmt>
        <c:idx val="2589"/>
      </c:pivotFmt>
      <c:pivotFmt>
        <c:idx val="2590"/>
      </c:pivotFmt>
      <c:pivotFmt>
        <c:idx val="2591"/>
      </c:pivotFmt>
      <c:pivotFmt>
        <c:idx val="2592"/>
      </c:pivotFmt>
      <c:pivotFmt>
        <c:idx val="2593"/>
      </c:pivotFmt>
      <c:pivotFmt>
        <c:idx val="2594"/>
      </c:pivotFmt>
      <c:pivotFmt>
        <c:idx val="2595"/>
      </c:pivotFmt>
      <c:pivotFmt>
        <c:idx val="2596"/>
      </c:pivotFmt>
      <c:pivotFmt>
        <c:idx val="2597"/>
      </c:pivotFmt>
      <c:pivotFmt>
        <c:idx val="2598"/>
      </c:pivotFmt>
      <c:pivotFmt>
        <c:idx val="2599"/>
      </c:pivotFmt>
      <c:pivotFmt>
        <c:idx val="2600"/>
      </c:pivotFmt>
      <c:pivotFmt>
        <c:idx val="2601"/>
      </c:pivotFmt>
      <c:pivotFmt>
        <c:idx val="2602"/>
      </c:pivotFmt>
      <c:pivotFmt>
        <c:idx val="2603"/>
      </c:pivotFmt>
      <c:pivotFmt>
        <c:idx val="2604"/>
      </c:pivotFmt>
      <c:pivotFmt>
        <c:idx val="2605"/>
      </c:pivotFmt>
      <c:pivotFmt>
        <c:idx val="2606"/>
      </c:pivotFmt>
      <c:pivotFmt>
        <c:idx val="2607"/>
      </c:pivotFmt>
      <c:pivotFmt>
        <c:idx val="2608"/>
      </c:pivotFmt>
      <c:pivotFmt>
        <c:idx val="2609"/>
      </c:pivotFmt>
      <c:pivotFmt>
        <c:idx val="2610"/>
      </c:pivotFmt>
      <c:pivotFmt>
        <c:idx val="2611"/>
      </c:pivotFmt>
      <c:pivotFmt>
        <c:idx val="2612"/>
      </c:pivotFmt>
      <c:pivotFmt>
        <c:idx val="2613"/>
      </c:pivotFmt>
      <c:pivotFmt>
        <c:idx val="2614"/>
      </c:pivotFmt>
      <c:pivotFmt>
        <c:idx val="2615"/>
      </c:pivotFmt>
      <c:pivotFmt>
        <c:idx val="2616"/>
      </c:pivotFmt>
      <c:pivotFmt>
        <c:idx val="2617"/>
      </c:pivotFmt>
      <c:pivotFmt>
        <c:idx val="2618"/>
      </c:pivotFmt>
      <c:pivotFmt>
        <c:idx val="2619"/>
      </c:pivotFmt>
      <c:pivotFmt>
        <c:idx val="2620"/>
      </c:pivotFmt>
      <c:pivotFmt>
        <c:idx val="2621"/>
      </c:pivotFmt>
      <c:pivotFmt>
        <c:idx val="2622"/>
      </c:pivotFmt>
      <c:pivotFmt>
        <c:idx val="2623"/>
      </c:pivotFmt>
      <c:pivotFmt>
        <c:idx val="2624"/>
      </c:pivotFmt>
      <c:pivotFmt>
        <c:idx val="2625"/>
      </c:pivotFmt>
      <c:pivotFmt>
        <c:idx val="2626"/>
      </c:pivotFmt>
      <c:pivotFmt>
        <c:idx val="2627"/>
      </c:pivotFmt>
      <c:pivotFmt>
        <c:idx val="2628"/>
      </c:pivotFmt>
      <c:pivotFmt>
        <c:idx val="2629"/>
      </c:pivotFmt>
      <c:pivotFmt>
        <c:idx val="2630"/>
      </c:pivotFmt>
      <c:pivotFmt>
        <c:idx val="2631"/>
      </c:pivotFmt>
      <c:pivotFmt>
        <c:idx val="2632"/>
      </c:pivotFmt>
      <c:pivotFmt>
        <c:idx val="2633"/>
      </c:pivotFmt>
      <c:pivotFmt>
        <c:idx val="2634"/>
      </c:pivotFmt>
      <c:pivotFmt>
        <c:idx val="2635"/>
      </c:pivotFmt>
      <c:pivotFmt>
        <c:idx val="2636"/>
      </c:pivotFmt>
      <c:pivotFmt>
        <c:idx val="2637"/>
      </c:pivotFmt>
      <c:pivotFmt>
        <c:idx val="2638"/>
      </c:pivotFmt>
      <c:pivotFmt>
        <c:idx val="2639"/>
      </c:pivotFmt>
      <c:pivotFmt>
        <c:idx val="2640"/>
      </c:pivotFmt>
      <c:pivotFmt>
        <c:idx val="2641"/>
      </c:pivotFmt>
      <c:pivotFmt>
        <c:idx val="2642"/>
      </c:pivotFmt>
      <c:pivotFmt>
        <c:idx val="2643"/>
      </c:pivotFmt>
      <c:pivotFmt>
        <c:idx val="2644"/>
      </c:pivotFmt>
      <c:pivotFmt>
        <c:idx val="2645"/>
      </c:pivotFmt>
      <c:pivotFmt>
        <c:idx val="2646"/>
      </c:pivotFmt>
      <c:pivotFmt>
        <c:idx val="2647"/>
      </c:pivotFmt>
      <c:pivotFmt>
        <c:idx val="2648"/>
      </c:pivotFmt>
      <c:pivotFmt>
        <c:idx val="2649"/>
      </c:pivotFmt>
      <c:pivotFmt>
        <c:idx val="2650"/>
      </c:pivotFmt>
      <c:pivotFmt>
        <c:idx val="2651"/>
      </c:pivotFmt>
      <c:pivotFmt>
        <c:idx val="2652"/>
      </c:pivotFmt>
      <c:pivotFmt>
        <c:idx val="2653"/>
      </c:pivotFmt>
      <c:pivotFmt>
        <c:idx val="2654"/>
      </c:pivotFmt>
      <c:pivotFmt>
        <c:idx val="2655"/>
      </c:pivotFmt>
      <c:pivotFmt>
        <c:idx val="2656"/>
      </c:pivotFmt>
      <c:pivotFmt>
        <c:idx val="2657"/>
      </c:pivotFmt>
      <c:pivotFmt>
        <c:idx val="2658"/>
      </c:pivotFmt>
      <c:pivotFmt>
        <c:idx val="2659"/>
      </c:pivotFmt>
      <c:pivotFmt>
        <c:idx val="2660"/>
      </c:pivotFmt>
      <c:pivotFmt>
        <c:idx val="2661"/>
      </c:pivotFmt>
      <c:pivotFmt>
        <c:idx val="2662"/>
      </c:pivotFmt>
      <c:pivotFmt>
        <c:idx val="2663"/>
      </c:pivotFmt>
      <c:pivotFmt>
        <c:idx val="2664"/>
      </c:pivotFmt>
      <c:pivotFmt>
        <c:idx val="2665"/>
      </c:pivotFmt>
      <c:pivotFmt>
        <c:idx val="2666"/>
      </c:pivotFmt>
      <c:pivotFmt>
        <c:idx val="2667"/>
      </c:pivotFmt>
      <c:pivotFmt>
        <c:idx val="2668"/>
      </c:pivotFmt>
      <c:pivotFmt>
        <c:idx val="2669"/>
      </c:pivotFmt>
      <c:pivotFmt>
        <c:idx val="2670"/>
      </c:pivotFmt>
      <c:pivotFmt>
        <c:idx val="2671"/>
      </c:pivotFmt>
      <c:pivotFmt>
        <c:idx val="2672"/>
      </c:pivotFmt>
      <c:pivotFmt>
        <c:idx val="2673"/>
      </c:pivotFmt>
      <c:pivotFmt>
        <c:idx val="2674"/>
      </c:pivotFmt>
      <c:pivotFmt>
        <c:idx val="2675"/>
      </c:pivotFmt>
      <c:pivotFmt>
        <c:idx val="2676"/>
      </c:pivotFmt>
      <c:pivotFmt>
        <c:idx val="2677"/>
      </c:pivotFmt>
      <c:pivotFmt>
        <c:idx val="2678"/>
      </c:pivotFmt>
      <c:pivotFmt>
        <c:idx val="2679"/>
      </c:pivotFmt>
      <c:pivotFmt>
        <c:idx val="2680"/>
      </c:pivotFmt>
      <c:pivotFmt>
        <c:idx val="2681"/>
      </c:pivotFmt>
      <c:pivotFmt>
        <c:idx val="2682"/>
      </c:pivotFmt>
      <c:pivotFmt>
        <c:idx val="2683"/>
      </c:pivotFmt>
      <c:pivotFmt>
        <c:idx val="2684"/>
      </c:pivotFmt>
      <c:pivotFmt>
        <c:idx val="2685"/>
      </c:pivotFmt>
      <c:pivotFmt>
        <c:idx val="2686"/>
      </c:pivotFmt>
      <c:pivotFmt>
        <c:idx val="2687"/>
      </c:pivotFmt>
      <c:pivotFmt>
        <c:idx val="2688"/>
      </c:pivotFmt>
      <c:pivotFmt>
        <c:idx val="2689"/>
      </c:pivotFmt>
      <c:pivotFmt>
        <c:idx val="2690"/>
      </c:pivotFmt>
      <c:pivotFmt>
        <c:idx val="2691"/>
      </c:pivotFmt>
      <c:pivotFmt>
        <c:idx val="2692"/>
      </c:pivotFmt>
      <c:pivotFmt>
        <c:idx val="2693"/>
      </c:pivotFmt>
      <c:pivotFmt>
        <c:idx val="2694"/>
      </c:pivotFmt>
      <c:pivotFmt>
        <c:idx val="2695"/>
      </c:pivotFmt>
      <c:pivotFmt>
        <c:idx val="2696"/>
      </c:pivotFmt>
      <c:pivotFmt>
        <c:idx val="2697"/>
      </c:pivotFmt>
      <c:pivotFmt>
        <c:idx val="2698"/>
      </c:pivotFmt>
      <c:pivotFmt>
        <c:idx val="2699"/>
      </c:pivotFmt>
      <c:pivotFmt>
        <c:idx val="2700"/>
      </c:pivotFmt>
      <c:pivotFmt>
        <c:idx val="2701"/>
      </c:pivotFmt>
      <c:pivotFmt>
        <c:idx val="2702"/>
      </c:pivotFmt>
      <c:pivotFmt>
        <c:idx val="2703"/>
      </c:pivotFmt>
      <c:pivotFmt>
        <c:idx val="2704"/>
      </c:pivotFmt>
      <c:pivotFmt>
        <c:idx val="2705"/>
      </c:pivotFmt>
      <c:pivotFmt>
        <c:idx val="2706"/>
      </c:pivotFmt>
      <c:pivotFmt>
        <c:idx val="2707"/>
      </c:pivotFmt>
      <c:pivotFmt>
        <c:idx val="2708"/>
      </c:pivotFmt>
      <c:pivotFmt>
        <c:idx val="2709"/>
      </c:pivotFmt>
      <c:pivotFmt>
        <c:idx val="2710"/>
      </c:pivotFmt>
      <c:pivotFmt>
        <c:idx val="2711"/>
      </c:pivotFmt>
      <c:pivotFmt>
        <c:idx val="2712"/>
      </c:pivotFmt>
      <c:pivotFmt>
        <c:idx val="2713"/>
      </c:pivotFmt>
      <c:pivotFmt>
        <c:idx val="2714"/>
      </c:pivotFmt>
      <c:pivotFmt>
        <c:idx val="2715"/>
      </c:pivotFmt>
      <c:pivotFmt>
        <c:idx val="2716"/>
      </c:pivotFmt>
      <c:pivotFmt>
        <c:idx val="2717"/>
      </c:pivotFmt>
      <c:pivotFmt>
        <c:idx val="2718"/>
      </c:pivotFmt>
      <c:pivotFmt>
        <c:idx val="2719"/>
      </c:pivotFmt>
      <c:pivotFmt>
        <c:idx val="2720"/>
      </c:pivotFmt>
      <c:pivotFmt>
        <c:idx val="2721"/>
      </c:pivotFmt>
      <c:pivotFmt>
        <c:idx val="2722"/>
      </c:pivotFmt>
      <c:pivotFmt>
        <c:idx val="2723"/>
      </c:pivotFmt>
      <c:pivotFmt>
        <c:idx val="2724"/>
      </c:pivotFmt>
      <c:pivotFmt>
        <c:idx val="2725"/>
      </c:pivotFmt>
      <c:pivotFmt>
        <c:idx val="2726"/>
      </c:pivotFmt>
      <c:pivotFmt>
        <c:idx val="2727"/>
      </c:pivotFmt>
      <c:pivotFmt>
        <c:idx val="2728"/>
      </c:pivotFmt>
      <c:pivotFmt>
        <c:idx val="2729"/>
      </c:pivotFmt>
      <c:pivotFmt>
        <c:idx val="2730"/>
      </c:pivotFmt>
      <c:pivotFmt>
        <c:idx val="2731"/>
      </c:pivotFmt>
      <c:pivotFmt>
        <c:idx val="2732"/>
      </c:pivotFmt>
      <c:pivotFmt>
        <c:idx val="2733"/>
      </c:pivotFmt>
      <c:pivotFmt>
        <c:idx val="2734"/>
      </c:pivotFmt>
      <c:pivotFmt>
        <c:idx val="2735"/>
      </c:pivotFmt>
      <c:pivotFmt>
        <c:idx val="2736"/>
      </c:pivotFmt>
      <c:pivotFmt>
        <c:idx val="2737"/>
      </c:pivotFmt>
      <c:pivotFmt>
        <c:idx val="2738"/>
      </c:pivotFmt>
      <c:pivotFmt>
        <c:idx val="2739"/>
      </c:pivotFmt>
      <c:pivotFmt>
        <c:idx val="2740"/>
      </c:pivotFmt>
      <c:pivotFmt>
        <c:idx val="2741"/>
      </c:pivotFmt>
      <c:pivotFmt>
        <c:idx val="2742"/>
      </c:pivotFmt>
      <c:pivotFmt>
        <c:idx val="2743"/>
      </c:pivotFmt>
      <c:pivotFmt>
        <c:idx val="2744"/>
      </c:pivotFmt>
      <c:pivotFmt>
        <c:idx val="2745"/>
      </c:pivotFmt>
      <c:pivotFmt>
        <c:idx val="2746"/>
      </c:pivotFmt>
      <c:pivotFmt>
        <c:idx val="2747"/>
      </c:pivotFmt>
      <c:pivotFmt>
        <c:idx val="2748"/>
      </c:pivotFmt>
      <c:pivotFmt>
        <c:idx val="2749"/>
      </c:pivotFmt>
      <c:pivotFmt>
        <c:idx val="2750"/>
      </c:pivotFmt>
      <c:pivotFmt>
        <c:idx val="2751"/>
      </c:pivotFmt>
      <c:pivotFmt>
        <c:idx val="2752"/>
      </c:pivotFmt>
      <c:pivotFmt>
        <c:idx val="2753"/>
      </c:pivotFmt>
      <c:pivotFmt>
        <c:idx val="2754"/>
      </c:pivotFmt>
      <c:pivotFmt>
        <c:idx val="2755"/>
      </c:pivotFmt>
      <c:pivotFmt>
        <c:idx val="2756"/>
      </c:pivotFmt>
      <c:pivotFmt>
        <c:idx val="2757"/>
      </c:pivotFmt>
      <c:pivotFmt>
        <c:idx val="2758"/>
      </c:pivotFmt>
      <c:pivotFmt>
        <c:idx val="2759"/>
      </c:pivotFmt>
      <c:pivotFmt>
        <c:idx val="2760"/>
      </c:pivotFmt>
      <c:pivotFmt>
        <c:idx val="2761"/>
      </c:pivotFmt>
      <c:pivotFmt>
        <c:idx val="2762"/>
      </c:pivotFmt>
      <c:pivotFmt>
        <c:idx val="2763"/>
      </c:pivotFmt>
      <c:pivotFmt>
        <c:idx val="2764"/>
      </c:pivotFmt>
      <c:pivotFmt>
        <c:idx val="2765"/>
      </c:pivotFmt>
      <c:pivotFmt>
        <c:idx val="2766"/>
      </c:pivotFmt>
      <c:pivotFmt>
        <c:idx val="2767"/>
        <c:dLbl>
          <c:idx val="0"/>
          <c:showLegendKey val="0"/>
          <c:showVal val="0"/>
          <c:showCatName val="0"/>
          <c:showSerName val="0"/>
          <c:showPercent val="0"/>
          <c:showBubbleSize val="0"/>
          <c:extLst>
            <c:ext xmlns:c15="http://schemas.microsoft.com/office/drawing/2012/chart" uri="{CE6537A1-D6FC-4f65-9D91-7224C49458BB}"/>
          </c:extLst>
        </c:dLbl>
      </c:pivotFmt>
      <c:pivotFmt>
        <c:idx val="2768"/>
      </c:pivotFmt>
      <c:pivotFmt>
        <c:idx val="2769"/>
      </c:pivotFmt>
      <c:pivotFmt>
        <c:idx val="2770"/>
      </c:pivotFmt>
      <c:pivotFmt>
        <c:idx val="2771"/>
      </c:pivotFmt>
      <c:pivotFmt>
        <c:idx val="2772"/>
      </c:pivotFmt>
      <c:pivotFmt>
        <c:idx val="2773"/>
      </c:pivotFmt>
      <c:pivotFmt>
        <c:idx val="2774"/>
      </c:pivotFmt>
      <c:pivotFmt>
        <c:idx val="2775"/>
      </c:pivotFmt>
      <c:pivotFmt>
        <c:idx val="2776"/>
      </c:pivotFmt>
      <c:pivotFmt>
        <c:idx val="2777"/>
      </c:pivotFmt>
      <c:pivotFmt>
        <c:idx val="2778"/>
      </c:pivotFmt>
      <c:pivotFmt>
        <c:idx val="2779"/>
      </c:pivotFmt>
      <c:pivotFmt>
        <c:idx val="2780"/>
      </c:pivotFmt>
      <c:pivotFmt>
        <c:idx val="2781"/>
      </c:pivotFmt>
      <c:pivotFmt>
        <c:idx val="2782"/>
      </c:pivotFmt>
      <c:pivotFmt>
        <c:idx val="2783"/>
      </c:pivotFmt>
      <c:pivotFmt>
        <c:idx val="2784"/>
      </c:pivotFmt>
      <c:pivotFmt>
        <c:idx val="2785"/>
      </c:pivotFmt>
      <c:pivotFmt>
        <c:idx val="2786"/>
      </c:pivotFmt>
      <c:pivotFmt>
        <c:idx val="2787"/>
      </c:pivotFmt>
      <c:pivotFmt>
        <c:idx val="2788"/>
      </c:pivotFmt>
      <c:pivotFmt>
        <c:idx val="2789"/>
      </c:pivotFmt>
      <c:pivotFmt>
        <c:idx val="2790"/>
      </c:pivotFmt>
      <c:pivotFmt>
        <c:idx val="2791"/>
      </c:pivotFmt>
      <c:pivotFmt>
        <c:idx val="2792"/>
      </c:pivotFmt>
      <c:pivotFmt>
        <c:idx val="2793"/>
      </c:pivotFmt>
      <c:pivotFmt>
        <c:idx val="2794"/>
      </c:pivotFmt>
      <c:pivotFmt>
        <c:idx val="2795"/>
      </c:pivotFmt>
      <c:pivotFmt>
        <c:idx val="2796"/>
      </c:pivotFmt>
      <c:pivotFmt>
        <c:idx val="2797"/>
      </c:pivotFmt>
      <c:pivotFmt>
        <c:idx val="2798"/>
      </c:pivotFmt>
      <c:pivotFmt>
        <c:idx val="2799"/>
      </c:pivotFmt>
      <c:pivotFmt>
        <c:idx val="2800"/>
      </c:pivotFmt>
      <c:pivotFmt>
        <c:idx val="2801"/>
      </c:pivotFmt>
      <c:pivotFmt>
        <c:idx val="2802"/>
      </c:pivotFmt>
      <c:pivotFmt>
        <c:idx val="2803"/>
      </c:pivotFmt>
      <c:pivotFmt>
        <c:idx val="2804"/>
      </c:pivotFmt>
      <c:pivotFmt>
        <c:idx val="2805"/>
      </c:pivotFmt>
      <c:pivotFmt>
        <c:idx val="2806"/>
      </c:pivotFmt>
      <c:pivotFmt>
        <c:idx val="2807"/>
      </c:pivotFmt>
      <c:pivotFmt>
        <c:idx val="2808"/>
      </c:pivotFmt>
      <c:pivotFmt>
        <c:idx val="2809"/>
      </c:pivotFmt>
      <c:pivotFmt>
        <c:idx val="2810"/>
      </c:pivotFmt>
      <c:pivotFmt>
        <c:idx val="2811"/>
      </c:pivotFmt>
      <c:pivotFmt>
        <c:idx val="2812"/>
      </c:pivotFmt>
      <c:pivotFmt>
        <c:idx val="2813"/>
      </c:pivotFmt>
      <c:pivotFmt>
        <c:idx val="2814"/>
      </c:pivotFmt>
      <c:pivotFmt>
        <c:idx val="2815"/>
      </c:pivotFmt>
      <c:pivotFmt>
        <c:idx val="2816"/>
      </c:pivotFmt>
      <c:pivotFmt>
        <c:idx val="2817"/>
      </c:pivotFmt>
      <c:pivotFmt>
        <c:idx val="2818"/>
      </c:pivotFmt>
      <c:pivotFmt>
        <c:idx val="2819"/>
      </c:pivotFmt>
      <c:pivotFmt>
        <c:idx val="2820"/>
      </c:pivotFmt>
      <c:pivotFmt>
        <c:idx val="2821"/>
      </c:pivotFmt>
      <c:pivotFmt>
        <c:idx val="2822"/>
      </c:pivotFmt>
      <c:pivotFmt>
        <c:idx val="2823"/>
      </c:pivotFmt>
      <c:pivotFmt>
        <c:idx val="2824"/>
      </c:pivotFmt>
      <c:pivotFmt>
        <c:idx val="2825"/>
      </c:pivotFmt>
      <c:pivotFmt>
        <c:idx val="2826"/>
      </c:pivotFmt>
      <c:pivotFmt>
        <c:idx val="2827"/>
      </c:pivotFmt>
      <c:pivotFmt>
        <c:idx val="2828"/>
      </c:pivotFmt>
      <c:pivotFmt>
        <c:idx val="2829"/>
      </c:pivotFmt>
      <c:pivotFmt>
        <c:idx val="2830"/>
      </c:pivotFmt>
      <c:pivotFmt>
        <c:idx val="2831"/>
      </c:pivotFmt>
      <c:pivotFmt>
        <c:idx val="2832"/>
      </c:pivotFmt>
      <c:pivotFmt>
        <c:idx val="2833"/>
      </c:pivotFmt>
      <c:pivotFmt>
        <c:idx val="2834"/>
      </c:pivotFmt>
      <c:pivotFmt>
        <c:idx val="2835"/>
      </c:pivotFmt>
      <c:pivotFmt>
        <c:idx val="2836"/>
      </c:pivotFmt>
      <c:pivotFmt>
        <c:idx val="2837"/>
      </c:pivotFmt>
      <c:pivotFmt>
        <c:idx val="2838"/>
      </c:pivotFmt>
      <c:pivotFmt>
        <c:idx val="2839"/>
      </c:pivotFmt>
      <c:pivotFmt>
        <c:idx val="2840"/>
      </c:pivotFmt>
      <c:pivotFmt>
        <c:idx val="2841"/>
      </c:pivotFmt>
      <c:pivotFmt>
        <c:idx val="2842"/>
      </c:pivotFmt>
      <c:pivotFmt>
        <c:idx val="2843"/>
      </c:pivotFmt>
      <c:pivotFmt>
        <c:idx val="2844"/>
      </c:pivotFmt>
      <c:pivotFmt>
        <c:idx val="2845"/>
      </c:pivotFmt>
      <c:pivotFmt>
        <c:idx val="2846"/>
      </c:pivotFmt>
      <c:pivotFmt>
        <c:idx val="2847"/>
      </c:pivotFmt>
      <c:pivotFmt>
        <c:idx val="2848"/>
      </c:pivotFmt>
      <c:pivotFmt>
        <c:idx val="2849"/>
      </c:pivotFmt>
      <c:pivotFmt>
        <c:idx val="2850"/>
      </c:pivotFmt>
      <c:pivotFmt>
        <c:idx val="2851"/>
      </c:pivotFmt>
      <c:pivotFmt>
        <c:idx val="2852"/>
      </c:pivotFmt>
      <c:pivotFmt>
        <c:idx val="2853"/>
      </c:pivotFmt>
      <c:pivotFmt>
        <c:idx val="2854"/>
      </c:pivotFmt>
      <c:pivotFmt>
        <c:idx val="2855"/>
      </c:pivotFmt>
      <c:pivotFmt>
        <c:idx val="2856"/>
      </c:pivotFmt>
      <c:pivotFmt>
        <c:idx val="2857"/>
      </c:pivotFmt>
      <c:pivotFmt>
        <c:idx val="2858"/>
      </c:pivotFmt>
      <c:pivotFmt>
        <c:idx val="2859"/>
      </c:pivotFmt>
      <c:pivotFmt>
        <c:idx val="2860"/>
      </c:pivotFmt>
      <c:pivotFmt>
        <c:idx val="2861"/>
      </c:pivotFmt>
      <c:pivotFmt>
        <c:idx val="2862"/>
      </c:pivotFmt>
      <c:pivotFmt>
        <c:idx val="2863"/>
      </c:pivotFmt>
      <c:pivotFmt>
        <c:idx val="2864"/>
      </c:pivotFmt>
      <c:pivotFmt>
        <c:idx val="2865"/>
      </c:pivotFmt>
      <c:pivotFmt>
        <c:idx val="2866"/>
      </c:pivotFmt>
      <c:pivotFmt>
        <c:idx val="2867"/>
      </c:pivotFmt>
      <c:pivotFmt>
        <c:idx val="2868"/>
      </c:pivotFmt>
      <c:pivotFmt>
        <c:idx val="2869"/>
      </c:pivotFmt>
      <c:pivotFmt>
        <c:idx val="2870"/>
      </c:pivotFmt>
      <c:pivotFmt>
        <c:idx val="2871"/>
      </c:pivotFmt>
      <c:pivotFmt>
        <c:idx val="2872"/>
      </c:pivotFmt>
      <c:pivotFmt>
        <c:idx val="2873"/>
      </c:pivotFmt>
      <c:pivotFmt>
        <c:idx val="2874"/>
      </c:pivotFmt>
      <c:pivotFmt>
        <c:idx val="2875"/>
      </c:pivotFmt>
      <c:pivotFmt>
        <c:idx val="2876"/>
      </c:pivotFmt>
      <c:pivotFmt>
        <c:idx val="2877"/>
      </c:pivotFmt>
      <c:pivotFmt>
        <c:idx val="2878"/>
      </c:pivotFmt>
      <c:pivotFmt>
        <c:idx val="2879"/>
      </c:pivotFmt>
      <c:pivotFmt>
        <c:idx val="2880"/>
      </c:pivotFmt>
      <c:pivotFmt>
        <c:idx val="2881"/>
      </c:pivotFmt>
      <c:pivotFmt>
        <c:idx val="2882"/>
      </c:pivotFmt>
      <c:pivotFmt>
        <c:idx val="2883"/>
      </c:pivotFmt>
      <c:pivotFmt>
        <c:idx val="2884"/>
      </c:pivotFmt>
      <c:pivotFmt>
        <c:idx val="2885"/>
      </c:pivotFmt>
      <c:pivotFmt>
        <c:idx val="2886"/>
      </c:pivotFmt>
      <c:pivotFmt>
        <c:idx val="2887"/>
      </c:pivotFmt>
      <c:pivotFmt>
        <c:idx val="2888"/>
      </c:pivotFmt>
      <c:pivotFmt>
        <c:idx val="2889"/>
      </c:pivotFmt>
      <c:pivotFmt>
        <c:idx val="2890"/>
      </c:pivotFmt>
      <c:pivotFmt>
        <c:idx val="2891"/>
      </c:pivotFmt>
      <c:pivotFmt>
        <c:idx val="2892"/>
      </c:pivotFmt>
      <c:pivotFmt>
        <c:idx val="2893"/>
      </c:pivotFmt>
      <c:pivotFmt>
        <c:idx val="2894"/>
      </c:pivotFmt>
      <c:pivotFmt>
        <c:idx val="2895"/>
      </c:pivotFmt>
      <c:pivotFmt>
        <c:idx val="2896"/>
      </c:pivotFmt>
      <c:pivotFmt>
        <c:idx val="2897"/>
      </c:pivotFmt>
      <c:pivotFmt>
        <c:idx val="2898"/>
      </c:pivotFmt>
      <c:pivotFmt>
        <c:idx val="2899"/>
      </c:pivotFmt>
      <c:pivotFmt>
        <c:idx val="2900"/>
      </c:pivotFmt>
      <c:pivotFmt>
        <c:idx val="2901"/>
      </c:pivotFmt>
      <c:pivotFmt>
        <c:idx val="2902"/>
      </c:pivotFmt>
      <c:pivotFmt>
        <c:idx val="2903"/>
      </c:pivotFmt>
      <c:pivotFmt>
        <c:idx val="2904"/>
      </c:pivotFmt>
      <c:pivotFmt>
        <c:idx val="2905"/>
      </c:pivotFmt>
      <c:pivotFmt>
        <c:idx val="2906"/>
      </c:pivotFmt>
      <c:pivotFmt>
        <c:idx val="2907"/>
      </c:pivotFmt>
      <c:pivotFmt>
        <c:idx val="2908"/>
      </c:pivotFmt>
      <c:pivotFmt>
        <c:idx val="2909"/>
      </c:pivotFmt>
      <c:pivotFmt>
        <c:idx val="2910"/>
      </c:pivotFmt>
      <c:pivotFmt>
        <c:idx val="2911"/>
      </c:pivotFmt>
      <c:pivotFmt>
        <c:idx val="2912"/>
      </c:pivotFmt>
      <c:pivotFmt>
        <c:idx val="2913"/>
      </c:pivotFmt>
      <c:pivotFmt>
        <c:idx val="2914"/>
      </c:pivotFmt>
      <c:pivotFmt>
        <c:idx val="2915"/>
      </c:pivotFmt>
      <c:pivotFmt>
        <c:idx val="2916"/>
      </c:pivotFmt>
      <c:pivotFmt>
        <c:idx val="2917"/>
      </c:pivotFmt>
      <c:pivotFmt>
        <c:idx val="2918"/>
      </c:pivotFmt>
      <c:pivotFmt>
        <c:idx val="2919"/>
      </c:pivotFmt>
      <c:pivotFmt>
        <c:idx val="2920"/>
      </c:pivotFmt>
      <c:pivotFmt>
        <c:idx val="2921"/>
      </c:pivotFmt>
      <c:pivotFmt>
        <c:idx val="2922"/>
      </c:pivotFmt>
      <c:pivotFmt>
        <c:idx val="2923"/>
      </c:pivotFmt>
      <c:pivotFmt>
        <c:idx val="2924"/>
      </c:pivotFmt>
      <c:pivotFmt>
        <c:idx val="2925"/>
      </c:pivotFmt>
      <c:pivotFmt>
        <c:idx val="2926"/>
      </c:pivotFmt>
      <c:pivotFmt>
        <c:idx val="2927"/>
      </c:pivotFmt>
      <c:pivotFmt>
        <c:idx val="2928"/>
      </c:pivotFmt>
      <c:pivotFmt>
        <c:idx val="2929"/>
      </c:pivotFmt>
      <c:pivotFmt>
        <c:idx val="2930"/>
      </c:pivotFmt>
      <c:pivotFmt>
        <c:idx val="2931"/>
      </c:pivotFmt>
      <c:pivotFmt>
        <c:idx val="2932"/>
      </c:pivotFmt>
      <c:pivotFmt>
        <c:idx val="2933"/>
      </c:pivotFmt>
      <c:pivotFmt>
        <c:idx val="2934"/>
      </c:pivotFmt>
      <c:pivotFmt>
        <c:idx val="2935"/>
      </c:pivotFmt>
      <c:pivotFmt>
        <c:idx val="2936"/>
      </c:pivotFmt>
      <c:pivotFmt>
        <c:idx val="2937"/>
      </c:pivotFmt>
      <c:pivotFmt>
        <c:idx val="2938"/>
      </c:pivotFmt>
      <c:pivotFmt>
        <c:idx val="2939"/>
      </c:pivotFmt>
      <c:pivotFmt>
        <c:idx val="2940"/>
      </c:pivotFmt>
      <c:pivotFmt>
        <c:idx val="2941"/>
      </c:pivotFmt>
      <c:pivotFmt>
        <c:idx val="2942"/>
      </c:pivotFmt>
      <c:pivotFmt>
        <c:idx val="2943"/>
      </c:pivotFmt>
      <c:pivotFmt>
        <c:idx val="2944"/>
      </c:pivotFmt>
      <c:pivotFmt>
        <c:idx val="2945"/>
      </c:pivotFmt>
      <c:pivotFmt>
        <c:idx val="2946"/>
      </c:pivotFmt>
      <c:pivotFmt>
        <c:idx val="2947"/>
      </c:pivotFmt>
      <c:pivotFmt>
        <c:idx val="2948"/>
      </c:pivotFmt>
      <c:pivotFmt>
        <c:idx val="2949"/>
      </c:pivotFmt>
      <c:pivotFmt>
        <c:idx val="2950"/>
      </c:pivotFmt>
      <c:pivotFmt>
        <c:idx val="2951"/>
      </c:pivotFmt>
      <c:pivotFmt>
        <c:idx val="2952"/>
      </c:pivotFmt>
      <c:pivotFmt>
        <c:idx val="2953"/>
      </c:pivotFmt>
      <c:pivotFmt>
        <c:idx val="2954"/>
      </c:pivotFmt>
      <c:pivotFmt>
        <c:idx val="2955"/>
      </c:pivotFmt>
      <c:pivotFmt>
        <c:idx val="2956"/>
      </c:pivotFmt>
      <c:pivotFmt>
        <c:idx val="2957"/>
      </c:pivotFmt>
      <c:pivotFmt>
        <c:idx val="2958"/>
      </c:pivotFmt>
      <c:pivotFmt>
        <c:idx val="2959"/>
      </c:pivotFmt>
      <c:pivotFmt>
        <c:idx val="2960"/>
      </c:pivotFmt>
      <c:pivotFmt>
        <c:idx val="2961"/>
      </c:pivotFmt>
      <c:pivotFmt>
        <c:idx val="2962"/>
      </c:pivotFmt>
      <c:pivotFmt>
        <c:idx val="2963"/>
      </c:pivotFmt>
      <c:pivotFmt>
        <c:idx val="2964"/>
      </c:pivotFmt>
      <c:pivotFmt>
        <c:idx val="2965"/>
      </c:pivotFmt>
      <c:pivotFmt>
        <c:idx val="2966"/>
      </c:pivotFmt>
      <c:pivotFmt>
        <c:idx val="2967"/>
      </c:pivotFmt>
      <c:pivotFmt>
        <c:idx val="2968"/>
      </c:pivotFmt>
      <c:pivotFmt>
        <c:idx val="2969"/>
      </c:pivotFmt>
      <c:pivotFmt>
        <c:idx val="2970"/>
      </c:pivotFmt>
      <c:pivotFmt>
        <c:idx val="2971"/>
      </c:pivotFmt>
      <c:pivotFmt>
        <c:idx val="2972"/>
      </c:pivotFmt>
      <c:pivotFmt>
        <c:idx val="2973"/>
      </c:pivotFmt>
      <c:pivotFmt>
        <c:idx val="2974"/>
      </c:pivotFmt>
      <c:pivotFmt>
        <c:idx val="2975"/>
      </c:pivotFmt>
      <c:pivotFmt>
        <c:idx val="2976"/>
      </c:pivotFmt>
      <c:pivotFmt>
        <c:idx val="2977"/>
      </c:pivotFmt>
      <c:pivotFmt>
        <c:idx val="2978"/>
      </c:pivotFmt>
      <c:pivotFmt>
        <c:idx val="2979"/>
      </c:pivotFmt>
      <c:pivotFmt>
        <c:idx val="2980"/>
      </c:pivotFmt>
      <c:pivotFmt>
        <c:idx val="2981"/>
      </c:pivotFmt>
      <c:pivotFmt>
        <c:idx val="2982"/>
      </c:pivotFmt>
      <c:pivotFmt>
        <c:idx val="2983"/>
      </c:pivotFmt>
      <c:pivotFmt>
        <c:idx val="2984"/>
      </c:pivotFmt>
      <c:pivotFmt>
        <c:idx val="2985"/>
      </c:pivotFmt>
      <c:pivotFmt>
        <c:idx val="2986"/>
      </c:pivotFmt>
      <c:pivotFmt>
        <c:idx val="2987"/>
      </c:pivotFmt>
      <c:pivotFmt>
        <c:idx val="2988"/>
      </c:pivotFmt>
      <c:pivotFmt>
        <c:idx val="2989"/>
      </c:pivotFmt>
      <c:pivotFmt>
        <c:idx val="2990"/>
      </c:pivotFmt>
      <c:pivotFmt>
        <c:idx val="2991"/>
      </c:pivotFmt>
      <c:pivotFmt>
        <c:idx val="2992"/>
      </c:pivotFmt>
      <c:pivotFmt>
        <c:idx val="2993"/>
      </c:pivotFmt>
      <c:pivotFmt>
        <c:idx val="2994"/>
      </c:pivotFmt>
      <c:pivotFmt>
        <c:idx val="2995"/>
      </c:pivotFmt>
      <c:pivotFmt>
        <c:idx val="2996"/>
      </c:pivotFmt>
      <c:pivotFmt>
        <c:idx val="2997"/>
      </c:pivotFmt>
      <c:pivotFmt>
        <c:idx val="2998"/>
      </c:pivotFmt>
      <c:pivotFmt>
        <c:idx val="2999"/>
      </c:pivotFmt>
      <c:pivotFmt>
        <c:idx val="3000"/>
      </c:pivotFmt>
      <c:pivotFmt>
        <c:idx val="3001"/>
      </c:pivotFmt>
      <c:pivotFmt>
        <c:idx val="3002"/>
      </c:pivotFmt>
      <c:pivotFmt>
        <c:idx val="3003"/>
      </c:pivotFmt>
      <c:pivotFmt>
        <c:idx val="3004"/>
      </c:pivotFmt>
      <c:pivotFmt>
        <c:idx val="3005"/>
      </c:pivotFmt>
      <c:pivotFmt>
        <c:idx val="3006"/>
      </c:pivotFmt>
      <c:pivotFmt>
        <c:idx val="3007"/>
      </c:pivotFmt>
      <c:pivotFmt>
        <c:idx val="3008"/>
      </c:pivotFmt>
      <c:pivotFmt>
        <c:idx val="3009"/>
      </c:pivotFmt>
      <c:pivotFmt>
        <c:idx val="3010"/>
      </c:pivotFmt>
      <c:pivotFmt>
        <c:idx val="3011"/>
      </c:pivotFmt>
      <c:pivotFmt>
        <c:idx val="3012"/>
      </c:pivotFmt>
      <c:pivotFmt>
        <c:idx val="3013"/>
      </c:pivotFmt>
      <c:pivotFmt>
        <c:idx val="3014"/>
      </c:pivotFmt>
      <c:pivotFmt>
        <c:idx val="3015"/>
      </c:pivotFmt>
      <c:pivotFmt>
        <c:idx val="3016"/>
      </c:pivotFmt>
      <c:pivotFmt>
        <c:idx val="3017"/>
      </c:pivotFmt>
      <c:pivotFmt>
        <c:idx val="3018"/>
      </c:pivotFmt>
      <c:pivotFmt>
        <c:idx val="3019"/>
      </c:pivotFmt>
      <c:pivotFmt>
        <c:idx val="3020"/>
      </c:pivotFmt>
      <c:pivotFmt>
        <c:idx val="3021"/>
      </c:pivotFmt>
      <c:pivotFmt>
        <c:idx val="3022"/>
      </c:pivotFmt>
      <c:pivotFmt>
        <c:idx val="3023"/>
      </c:pivotFmt>
      <c:pivotFmt>
        <c:idx val="3024"/>
      </c:pivotFmt>
      <c:pivotFmt>
        <c:idx val="3025"/>
      </c:pivotFmt>
      <c:pivotFmt>
        <c:idx val="3026"/>
      </c:pivotFmt>
      <c:pivotFmt>
        <c:idx val="3027"/>
      </c:pivotFmt>
      <c:pivotFmt>
        <c:idx val="3028"/>
      </c:pivotFmt>
      <c:pivotFmt>
        <c:idx val="3029"/>
      </c:pivotFmt>
      <c:pivotFmt>
        <c:idx val="3030"/>
      </c:pivotFmt>
      <c:pivotFmt>
        <c:idx val="3031"/>
      </c:pivotFmt>
      <c:pivotFmt>
        <c:idx val="3032"/>
      </c:pivotFmt>
      <c:pivotFmt>
        <c:idx val="3033"/>
      </c:pivotFmt>
      <c:pivotFmt>
        <c:idx val="3034"/>
      </c:pivotFmt>
      <c:pivotFmt>
        <c:idx val="3035"/>
      </c:pivotFmt>
      <c:pivotFmt>
        <c:idx val="3036"/>
      </c:pivotFmt>
      <c:pivotFmt>
        <c:idx val="3037"/>
      </c:pivotFmt>
      <c:pivotFmt>
        <c:idx val="3038"/>
      </c:pivotFmt>
      <c:pivotFmt>
        <c:idx val="3039"/>
      </c:pivotFmt>
      <c:pivotFmt>
        <c:idx val="3040"/>
      </c:pivotFmt>
      <c:pivotFmt>
        <c:idx val="3041"/>
      </c:pivotFmt>
      <c:pivotFmt>
        <c:idx val="3042"/>
      </c:pivotFmt>
      <c:pivotFmt>
        <c:idx val="3043"/>
      </c:pivotFmt>
      <c:pivotFmt>
        <c:idx val="3044"/>
      </c:pivotFmt>
      <c:pivotFmt>
        <c:idx val="3045"/>
      </c:pivotFmt>
      <c:pivotFmt>
        <c:idx val="3046"/>
      </c:pivotFmt>
      <c:pivotFmt>
        <c:idx val="3047"/>
      </c:pivotFmt>
      <c:pivotFmt>
        <c:idx val="3048"/>
      </c:pivotFmt>
      <c:pivotFmt>
        <c:idx val="3049"/>
      </c:pivotFmt>
      <c:pivotFmt>
        <c:idx val="3050"/>
      </c:pivotFmt>
      <c:pivotFmt>
        <c:idx val="3051"/>
      </c:pivotFmt>
      <c:pivotFmt>
        <c:idx val="3052"/>
      </c:pivotFmt>
      <c:pivotFmt>
        <c:idx val="3053"/>
      </c:pivotFmt>
      <c:pivotFmt>
        <c:idx val="3054"/>
      </c:pivotFmt>
      <c:pivotFmt>
        <c:idx val="3055"/>
      </c:pivotFmt>
      <c:pivotFmt>
        <c:idx val="3056"/>
      </c:pivotFmt>
      <c:pivotFmt>
        <c:idx val="3057"/>
      </c:pivotFmt>
      <c:pivotFmt>
        <c:idx val="3058"/>
      </c:pivotFmt>
      <c:pivotFmt>
        <c:idx val="3059"/>
      </c:pivotFmt>
      <c:pivotFmt>
        <c:idx val="3060"/>
      </c:pivotFmt>
      <c:pivotFmt>
        <c:idx val="3061"/>
      </c:pivotFmt>
      <c:pivotFmt>
        <c:idx val="3062"/>
      </c:pivotFmt>
      <c:pivotFmt>
        <c:idx val="3063"/>
      </c:pivotFmt>
      <c:pivotFmt>
        <c:idx val="3064"/>
      </c:pivotFmt>
      <c:pivotFmt>
        <c:idx val="3065"/>
      </c:pivotFmt>
      <c:pivotFmt>
        <c:idx val="3066"/>
      </c:pivotFmt>
      <c:pivotFmt>
        <c:idx val="3067"/>
      </c:pivotFmt>
      <c:pivotFmt>
        <c:idx val="3068"/>
      </c:pivotFmt>
      <c:pivotFmt>
        <c:idx val="3069"/>
      </c:pivotFmt>
      <c:pivotFmt>
        <c:idx val="3070"/>
      </c:pivotFmt>
      <c:pivotFmt>
        <c:idx val="3071"/>
      </c:pivotFmt>
      <c:pivotFmt>
        <c:idx val="3072"/>
      </c:pivotFmt>
      <c:pivotFmt>
        <c:idx val="3073"/>
      </c:pivotFmt>
      <c:pivotFmt>
        <c:idx val="3074"/>
      </c:pivotFmt>
      <c:pivotFmt>
        <c:idx val="3075"/>
      </c:pivotFmt>
      <c:pivotFmt>
        <c:idx val="3076"/>
      </c:pivotFmt>
      <c:pivotFmt>
        <c:idx val="3077"/>
      </c:pivotFmt>
      <c:pivotFmt>
        <c:idx val="3078"/>
      </c:pivotFmt>
      <c:pivotFmt>
        <c:idx val="3079"/>
      </c:pivotFmt>
      <c:pivotFmt>
        <c:idx val="3080"/>
      </c:pivotFmt>
      <c:pivotFmt>
        <c:idx val="3081"/>
      </c:pivotFmt>
      <c:pivotFmt>
        <c:idx val="3082"/>
      </c:pivotFmt>
      <c:pivotFmt>
        <c:idx val="3083"/>
      </c:pivotFmt>
      <c:pivotFmt>
        <c:idx val="3084"/>
      </c:pivotFmt>
      <c:pivotFmt>
        <c:idx val="3085"/>
      </c:pivotFmt>
      <c:pivotFmt>
        <c:idx val="3086"/>
      </c:pivotFmt>
      <c:pivotFmt>
        <c:idx val="3087"/>
      </c:pivotFmt>
      <c:pivotFmt>
        <c:idx val="3088"/>
      </c:pivotFmt>
      <c:pivotFmt>
        <c:idx val="3089"/>
      </c:pivotFmt>
      <c:pivotFmt>
        <c:idx val="3090"/>
      </c:pivotFmt>
      <c:pivotFmt>
        <c:idx val="3091"/>
      </c:pivotFmt>
      <c:pivotFmt>
        <c:idx val="3092"/>
      </c:pivotFmt>
      <c:pivotFmt>
        <c:idx val="3093"/>
      </c:pivotFmt>
      <c:pivotFmt>
        <c:idx val="3094"/>
      </c:pivotFmt>
      <c:pivotFmt>
        <c:idx val="3095"/>
      </c:pivotFmt>
      <c:pivotFmt>
        <c:idx val="3096"/>
      </c:pivotFmt>
      <c:pivotFmt>
        <c:idx val="3097"/>
      </c:pivotFmt>
      <c:pivotFmt>
        <c:idx val="3098"/>
      </c:pivotFmt>
      <c:pivotFmt>
        <c:idx val="3099"/>
      </c:pivotFmt>
      <c:pivotFmt>
        <c:idx val="3100"/>
      </c:pivotFmt>
      <c:pivotFmt>
        <c:idx val="3101"/>
      </c:pivotFmt>
      <c:pivotFmt>
        <c:idx val="3102"/>
      </c:pivotFmt>
      <c:pivotFmt>
        <c:idx val="3103"/>
      </c:pivotFmt>
      <c:pivotFmt>
        <c:idx val="3104"/>
      </c:pivotFmt>
      <c:pivotFmt>
        <c:idx val="3105"/>
      </c:pivotFmt>
      <c:pivotFmt>
        <c:idx val="3106"/>
      </c:pivotFmt>
      <c:pivotFmt>
        <c:idx val="3107"/>
      </c:pivotFmt>
      <c:pivotFmt>
        <c:idx val="3108"/>
      </c:pivotFmt>
      <c:pivotFmt>
        <c:idx val="3109"/>
      </c:pivotFmt>
      <c:pivotFmt>
        <c:idx val="3110"/>
      </c:pivotFmt>
      <c:pivotFmt>
        <c:idx val="3111"/>
      </c:pivotFmt>
      <c:pivotFmt>
        <c:idx val="3112"/>
      </c:pivotFmt>
      <c:pivotFmt>
        <c:idx val="3113"/>
      </c:pivotFmt>
      <c:pivotFmt>
        <c:idx val="3114"/>
      </c:pivotFmt>
      <c:pivotFmt>
        <c:idx val="3115"/>
      </c:pivotFmt>
      <c:pivotFmt>
        <c:idx val="3116"/>
      </c:pivotFmt>
      <c:pivotFmt>
        <c:idx val="3117"/>
      </c:pivotFmt>
      <c:pivotFmt>
        <c:idx val="3118"/>
      </c:pivotFmt>
      <c:pivotFmt>
        <c:idx val="3119"/>
      </c:pivotFmt>
      <c:pivotFmt>
        <c:idx val="3120"/>
      </c:pivotFmt>
      <c:pivotFmt>
        <c:idx val="3121"/>
      </c:pivotFmt>
      <c:pivotFmt>
        <c:idx val="3122"/>
      </c:pivotFmt>
      <c:pivotFmt>
        <c:idx val="3123"/>
      </c:pivotFmt>
      <c:pivotFmt>
        <c:idx val="3124"/>
      </c:pivotFmt>
      <c:pivotFmt>
        <c:idx val="3125"/>
      </c:pivotFmt>
      <c:pivotFmt>
        <c:idx val="3126"/>
      </c:pivotFmt>
      <c:pivotFmt>
        <c:idx val="3127"/>
      </c:pivotFmt>
      <c:pivotFmt>
        <c:idx val="3128"/>
      </c:pivotFmt>
      <c:pivotFmt>
        <c:idx val="3129"/>
      </c:pivotFmt>
      <c:pivotFmt>
        <c:idx val="3130"/>
      </c:pivotFmt>
      <c:pivotFmt>
        <c:idx val="3131"/>
      </c:pivotFmt>
      <c:pivotFmt>
        <c:idx val="3132"/>
      </c:pivotFmt>
      <c:pivotFmt>
        <c:idx val="3133"/>
      </c:pivotFmt>
      <c:pivotFmt>
        <c:idx val="3134"/>
      </c:pivotFmt>
      <c:pivotFmt>
        <c:idx val="3135"/>
      </c:pivotFmt>
      <c:pivotFmt>
        <c:idx val="3136"/>
      </c:pivotFmt>
      <c:pivotFmt>
        <c:idx val="3137"/>
      </c:pivotFmt>
      <c:pivotFmt>
        <c:idx val="3138"/>
      </c:pivotFmt>
      <c:pivotFmt>
        <c:idx val="3139"/>
      </c:pivotFmt>
      <c:pivotFmt>
        <c:idx val="3140"/>
      </c:pivotFmt>
      <c:pivotFmt>
        <c:idx val="3141"/>
      </c:pivotFmt>
      <c:pivotFmt>
        <c:idx val="3142"/>
      </c:pivotFmt>
      <c:pivotFmt>
        <c:idx val="3143"/>
      </c:pivotFmt>
      <c:pivotFmt>
        <c:idx val="3144"/>
      </c:pivotFmt>
      <c:pivotFmt>
        <c:idx val="3145"/>
      </c:pivotFmt>
      <c:pivotFmt>
        <c:idx val="3146"/>
      </c:pivotFmt>
      <c:pivotFmt>
        <c:idx val="3147"/>
      </c:pivotFmt>
      <c:pivotFmt>
        <c:idx val="3148"/>
      </c:pivotFmt>
      <c:pivotFmt>
        <c:idx val="3149"/>
      </c:pivotFmt>
      <c:pivotFmt>
        <c:idx val="3150"/>
      </c:pivotFmt>
      <c:pivotFmt>
        <c:idx val="3151"/>
      </c:pivotFmt>
      <c:pivotFmt>
        <c:idx val="3152"/>
      </c:pivotFmt>
      <c:pivotFmt>
        <c:idx val="3153"/>
      </c:pivotFmt>
      <c:pivotFmt>
        <c:idx val="3154"/>
      </c:pivotFmt>
      <c:pivotFmt>
        <c:idx val="3155"/>
      </c:pivotFmt>
      <c:pivotFmt>
        <c:idx val="3156"/>
      </c:pivotFmt>
      <c:pivotFmt>
        <c:idx val="3157"/>
      </c:pivotFmt>
      <c:pivotFmt>
        <c:idx val="3158"/>
      </c:pivotFmt>
      <c:pivotFmt>
        <c:idx val="3159"/>
      </c:pivotFmt>
      <c:pivotFmt>
        <c:idx val="3160"/>
      </c:pivotFmt>
      <c:pivotFmt>
        <c:idx val="3161"/>
      </c:pivotFmt>
      <c:pivotFmt>
        <c:idx val="3162"/>
      </c:pivotFmt>
      <c:pivotFmt>
        <c:idx val="3163"/>
      </c:pivotFmt>
      <c:pivotFmt>
        <c:idx val="3164"/>
      </c:pivotFmt>
      <c:pivotFmt>
        <c:idx val="3165"/>
      </c:pivotFmt>
      <c:pivotFmt>
        <c:idx val="3166"/>
      </c:pivotFmt>
      <c:pivotFmt>
        <c:idx val="3167"/>
      </c:pivotFmt>
      <c:pivotFmt>
        <c:idx val="3168"/>
      </c:pivotFmt>
      <c:pivotFmt>
        <c:idx val="3169"/>
      </c:pivotFmt>
      <c:pivotFmt>
        <c:idx val="3170"/>
      </c:pivotFmt>
      <c:pivotFmt>
        <c:idx val="3171"/>
      </c:pivotFmt>
      <c:pivotFmt>
        <c:idx val="3172"/>
      </c:pivotFmt>
      <c:pivotFmt>
        <c:idx val="3173"/>
      </c:pivotFmt>
      <c:pivotFmt>
        <c:idx val="3174"/>
      </c:pivotFmt>
      <c:pivotFmt>
        <c:idx val="3175"/>
      </c:pivotFmt>
      <c:pivotFmt>
        <c:idx val="3176"/>
      </c:pivotFmt>
      <c:pivotFmt>
        <c:idx val="3177"/>
      </c:pivotFmt>
      <c:pivotFmt>
        <c:idx val="3178"/>
      </c:pivotFmt>
      <c:pivotFmt>
        <c:idx val="3179"/>
      </c:pivotFmt>
      <c:pivotFmt>
        <c:idx val="3180"/>
      </c:pivotFmt>
      <c:pivotFmt>
        <c:idx val="3181"/>
      </c:pivotFmt>
      <c:pivotFmt>
        <c:idx val="3182"/>
      </c:pivotFmt>
      <c:pivotFmt>
        <c:idx val="3183"/>
      </c:pivotFmt>
      <c:pivotFmt>
        <c:idx val="3184"/>
      </c:pivotFmt>
      <c:pivotFmt>
        <c:idx val="3185"/>
      </c:pivotFmt>
      <c:pivotFmt>
        <c:idx val="3186"/>
      </c:pivotFmt>
      <c:pivotFmt>
        <c:idx val="3187"/>
      </c:pivotFmt>
      <c:pivotFmt>
        <c:idx val="3188"/>
      </c:pivotFmt>
      <c:pivotFmt>
        <c:idx val="3189"/>
      </c:pivotFmt>
      <c:pivotFmt>
        <c:idx val="3190"/>
      </c:pivotFmt>
      <c:pivotFmt>
        <c:idx val="3191"/>
      </c:pivotFmt>
      <c:pivotFmt>
        <c:idx val="3192"/>
      </c:pivotFmt>
      <c:pivotFmt>
        <c:idx val="3193"/>
      </c:pivotFmt>
      <c:pivotFmt>
        <c:idx val="3194"/>
      </c:pivotFmt>
      <c:pivotFmt>
        <c:idx val="3195"/>
      </c:pivotFmt>
      <c:pivotFmt>
        <c:idx val="3196"/>
      </c:pivotFmt>
      <c:pivotFmt>
        <c:idx val="3197"/>
      </c:pivotFmt>
      <c:pivotFmt>
        <c:idx val="3198"/>
      </c:pivotFmt>
      <c:pivotFmt>
        <c:idx val="3199"/>
      </c:pivotFmt>
      <c:pivotFmt>
        <c:idx val="3200"/>
      </c:pivotFmt>
      <c:pivotFmt>
        <c:idx val="3201"/>
      </c:pivotFmt>
      <c:pivotFmt>
        <c:idx val="3202"/>
      </c:pivotFmt>
      <c:pivotFmt>
        <c:idx val="3203"/>
      </c:pivotFmt>
      <c:pivotFmt>
        <c:idx val="3204"/>
      </c:pivotFmt>
      <c:pivotFmt>
        <c:idx val="3205"/>
      </c:pivotFmt>
      <c:pivotFmt>
        <c:idx val="3206"/>
      </c:pivotFmt>
      <c:pivotFmt>
        <c:idx val="3207"/>
      </c:pivotFmt>
      <c:pivotFmt>
        <c:idx val="3208"/>
      </c:pivotFmt>
      <c:pivotFmt>
        <c:idx val="3209"/>
      </c:pivotFmt>
      <c:pivotFmt>
        <c:idx val="3210"/>
      </c:pivotFmt>
      <c:pivotFmt>
        <c:idx val="3211"/>
      </c:pivotFmt>
      <c:pivotFmt>
        <c:idx val="3212"/>
      </c:pivotFmt>
      <c:pivotFmt>
        <c:idx val="3213"/>
      </c:pivotFmt>
      <c:pivotFmt>
        <c:idx val="3214"/>
      </c:pivotFmt>
      <c:pivotFmt>
        <c:idx val="3215"/>
      </c:pivotFmt>
      <c:pivotFmt>
        <c:idx val="3216"/>
      </c:pivotFmt>
      <c:pivotFmt>
        <c:idx val="3217"/>
      </c:pivotFmt>
      <c:pivotFmt>
        <c:idx val="3218"/>
      </c:pivotFmt>
      <c:pivotFmt>
        <c:idx val="3219"/>
      </c:pivotFmt>
      <c:pivotFmt>
        <c:idx val="3220"/>
      </c:pivotFmt>
      <c:pivotFmt>
        <c:idx val="3221"/>
      </c:pivotFmt>
      <c:pivotFmt>
        <c:idx val="3222"/>
      </c:pivotFmt>
      <c:pivotFmt>
        <c:idx val="3223"/>
      </c:pivotFmt>
      <c:pivotFmt>
        <c:idx val="3224"/>
      </c:pivotFmt>
      <c:pivotFmt>
        <c:idx val="3225"/>
      </c:pivotFmt>
      <c:pivotFmt>
        <c:idx val="3226"/>
      </c:pivotFmt>
      <c:pivotFmt>
        <c:idx val="3227"/>
      </c:pivotFmt>
      <c:pivotFmt>
        <c:idx val="3228"/>
      </c:pivotFmt>
      <c:pivotFmt>
        <c:idx val="3229"/>
      </c:pivotFmt>
      <c:pivotFmt>
        <c:idx val="3230"/>
      </c:pivotFmt>
      <c:pivotFmt>
        <c:idx val="3231"/>
      </c:pivotFmt>
      <c:pivotFmt>
        <c:idx val="3232"/>
      </c:pivotFmt>
      <c:pivotFmt>
        <c:idx val="3233"/>
      </c:pivotFmt>
      <c:pivotFmt>
        <c:idx val="3234"/>
      </c:pivotFmt>
      <c:pivotFmt>
        <c:idx val="3235"/>
      </c:pivotFmt>
      <c:pivotFmt>
        <c:idx val="3236"/>
      </c:pivotFmt>
      <c:pivotFmt>
        <c:idx val="3237"/>
      </c:pivotFmt>
      <c:pivotFmt>
        <c:idx val="3238"/>
      </c:pivotFmt>
      <c:pivotFmt>
        <c:idx val="3239"/>
      </c:pivotFmt>
      <c:pivotFmt>
        <c:idx val="3240"/>
      </c:pivotFmt>
      <c:pivotFmt>
        <c:idx val="3241"/>
      </c:pivotFmt>
      <c:pivotFmt>
        <c:idx val="3242"/>
      </c:pivotFmt>
      <c:pivotFmt>
        <c:idx val="3243"/>
      </c:pivotFmt>
      <c:pivotFmt>
        <c:idx val="3244"/>
      </c:pivotFmt>
      <c:pivotFmt>
        <c:idx val="3245"/>
      </c:pivotFmt>
      <c:pivotFmt>
        <c:idx val="3246"/>
      </c:pivotFmt>
      <c:pivotFmt>
        <c:idx val="3247"/>
      </c:pivotFmt>
      <c:pivotFmt>
        <c:idx val="3248"/>
      </c:pivotFmt>
      <c:pivotFmt>
        <c:idx val="3249"/>
      </c:pivotFmt>
      <c:pivotFmt>
        <c:idx val="3250"/>
      </c:pivotFmt>
      <c:pivotFmt>
        <c:idx val="3251"/>
      </c:pivotFmt>
      <c:pivotFmt>
        <c:idx val="3252"/>
      </c:pivotFmt>
      <c:pivotFmt>
        <c:idx val="3253"/>
      </c:pivotFmt>
      <c:pivotFmt>
        <c:idx val="3254"/>
      </c:pivotFmt>
      <c:pivotFmt>
        <c:idx val="3255"/>
      </c:pivotFmt>
      <c:pivotFmt>
        <c:idx val="3256"/>
      </c:pivotFmt>
      <c:pivotFmt>
        <c:idx val="3257"/>
      </c:pivotFmt>
      <c:pivotFmt>
        <c:idx val="3258"/>
      </c:pivotFmt>
      <c:pivotFmt>
        <c:idx val="3259"/>
      </c:pivotFmt>
      <c:pivotFmt>
        <c:idx val="3260"/>
      </c:pivotFmt>
      <c:pivotFmt>
        <c:idx val="3261"/>
      </c:pivotFmt>
      <c:pivotFmt>
        <c:idx val="3262"/>
      </c:pivotFmt>
      <c:pivotFmt>
        <c:idx val="3263"/>
      </c:pivotFmt>
      <c:pivotFmt>
        <c:idx val="3264"/>
      </c:pivotFmt>
      <c:pivotFmt>
        <c:idx val="3265"/>
      </c:pivotFmt>
      <c:pivotFmt>
        <c:idx val="3266"/>
      </c:pivotFmt>
      <c:pivotFmt>
        <c:idx val="3267"/>
      </c:pivotFmt>
      <c:pivotFmt>
        <c:idx val="3268"/>
      </c:pivotFmt>
      <c:pivotFmt>
        <c:idx val="3269"/>
      </c:pivotFmt>
      <c:pivotFmt>
        <c:idx val="3270"/>
      </c:pivotFmt>
      <c:pivotFmt>
        <c:idx val="3271"/>
      </c:pivotFmt>
      <c:pivotFmt>
        <c:idx val="3272"/>
      </c:pivotFmt>
      <c:pivotFmt>
        <c:idx val="3273"/>
      </c:pivotFmt>
      <c:pivotFmt>
        <c:idx val="3274"/>
      </c:pivotFmt>
      <c:pivotFmt>
        <c:idx val="3275"/>
      </c:pivotFmt>
      <c:pivotFmt>
        <c:idx val="3276"/>
      </c:pivotFmt>
      <c:pivotFmt>
        <c:idx val="3277"/>
      </c:pivotFmt>
      <c:pivotFmt>
        <c:idx val="3278"/>
      </c:pivotFmt>
      <c:pivotFmt>
        <c:idx val="3279"/>
      </c:pivotFmt>
      <c:pivotFmt>
        <c:idx val="3280"/>
      </c:pivotFmt>
      <c:pivotFmt>
        <c:idx val="3281"/>
      </c:pivotFmt>
      <c:pivotFmt>
        <c:idx val="3282"/>
      </c:pivotFmt>
      <c:pivotFmt>
        <c:idx val="3283"/>
      </c:pivotFmt>
      <c:pivotFmt>
        <c:idx val="3284"/>
      </c:pivotFmt>
      <c:pivotFmt>
        <c:idx val="3285"/>
      </c:pivotFmt>
      <c:pivotFmt>
        <c:idx val="3286"/>
      </c:pivotFmt>
      <c:pivotFmt>
        <c:idx val="3287"/>
      </c:pivotFmt>
      <c:pivotFmt>
        <c:idx val="3288"/>
      </c:pivotFmt>
      <c:pivotFmt>
        <c:idx val="3289"/>
      </c:pivotFmt>
      <c:pivotFmt>
        <c:idx val="3290"/>
      </c:pivotFmt>
      <c:pivotFmt>
        <c:idx val="3291"/>
      </c:pivotFmt>
      <c:pivotFmt>
        <c:idx val="3292"/>
      </c:pivotFmt>
      <c:pivotFmt>
        <c:idx val="3293"/>
      </c:pivotFmt>
      <c:pivotFmt>
        <c:idx val="3294"/>
      </c:pivotFmt>
      <c:pivotFmt>
        <c:idx val="3295"/>
      </c:pivotFmt>
      <c:pivotFmt>
        <c:idx val="3296"/>
      </c:pivotFmt>
      <c:pivotFmt>
        <c:idx val="3297"/>
      </c:pivotFmt>
      <c:pivotFmt>
        <c:idx val="3298"/>
      </c:pivotFmt>
      <c:pivotFmt>
        <c:idx val="3299"/>
      </c:pivotFmt>
      <c:pivotFmt>
        <c:idx val="3300"/>
      </c:pivotFmt>
      <c:pivotFmt>
        <c:idx val="3301"/>
      </c:pivotFmt>
      <c:pivotFmt>
        <c:idx val="3302"/>
      </c:pivotFmt>
      <c:pivotFmt>
        <c:idx val="3303"/>
      </c:pivotFmt>
      <c:pivotFmt>
        <c:idx val="3304"/>
      </c:pivotFmt>
      <c:pivotFmt>
        <c:idx val="3305"/>
      </c:pivotFmt>
      <c:pivotFmt>
        <c:idx val="3306"/>
      </c:pivotFmt>
      <c:pivotFmt>
        <c:idx val="3307"/>
      </c:pivotFmt>
      <c:pivotFmt>
        <c:idx val="3308"/>
      </c:pivotFmt>
      <c:pivotFmt>
        <c:idx val="3309"/>
      </c:pivotFmt>
      <c:pivotFmt>
        <c:idx val="3310"/>
      </c:pivotFmt>
      <c:pivotFmt>
        <c:idx val="3311"/>
      </c:pivotFmt>
      <c:pivotFmt>
        <c:idx val="3312"/>
      </c:pivotFmt>
      <c:pivotFmt>
        <c:idx val="3313"/>
      </c:pivotFmt>
      <c:pivotFmt>
        <c:idx val="3314"/>
      </c:pivotFmt>
      <c:pivotFmt>
        <c:idx val="3315"/>
      </c:pivotFmt>
      <c:pivotFmt>
        <c:idx val="3316"/>
      </c:pivotFmt>
      <c:pivotFmt>
        <c:idx val="3317"/>
      </c:pivotFmt>
      <c:pivotFmt>
        <c:idx val="3318"/>
      </c:pivotFmt>
      <c:pivotFmt>
        <c:idx val="3319"/>
      </c:pivotFmt>
      <c:pivotFmt>
        <c:idx val="33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pPr>
            <a:solidFill>
              <a:schemeClr val="accent1"/>
            </a:solidFill>
            <a:ln w="9525">
              <a:solidFill>
                <a:schemeClr val="l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1"/>
      </c:pivotFmt>
      <c:pivotFmt>
        <c:idx val="3322"/>
      </c:pivotFmt>
      <c:pivotFmt>
        <c:idx val="3323"/>
      </c:pivotFmt>
      <c:pivotFmt>
        <c:idx val="3324"/>
      </c:pivotFmt>
      <c:pivotFmt>
        <c:idx val="3325"/>
      </c:pivotFmt>
      <c:pivotFmt>
        <c:idx val="3326"/>
      </c:pivotFmt>
      <c:pivotFmt>
        <c:idx val="3327"/>
      </c:pivotFmt>
      <c:pivotFmt>
        <c:idx val="3328"/>
      </c:pivotFmt>
      <c:pivotFmt>
        <c:idx val="3329"/>
      </c:pivotFmt>
      <c:pivotFmt>
        <c:idx val="3330"/>
      </c:pivotFmt>
      <c:pivotFmt>
        <c:idx val="3331"/>
      </c:pivotFmt>
      <c:pivotFmt>
        <c:idx val="3332"/>
      </c:pivotFmt>
      <c:pivotFmt>
        <c:idx val="3333"/>
      </c:pivotFmt>
      <c:pivotFmt>
        <c:idx val="3334"/>
      </c:pivotFmt>
      <c:pivotFmt>
        <c:idx val="3335"/>
      </c:pivotFmt>
      <c:pivotFmt>
        <c:idx val="3336"/>
      </c:pivotFmt>
      <c:pivotFmt>
        <c:idx val="3337"/>
      </c:pivotFmt>
      <c:pivotFmt>
        <c:idx val="3338"/>
      </c:pivotFmt>
      <c:pivotFmt>
        <c:idx val="3339"/>
      </c:pivotFmt>
      <c:pivotFmt>
        <c:idx val="3340"/>
      </c:pivotFmt>
      <c:pivotFmt>
        <c:idx val="3341"/>
      </c:pivotFmt>
      <c:pivotFmt>
        <c:idx val="3342"/>
      </c:pivotFmt>
      <c:pivotFmt>
        <c:idx val="3343"/>
      </c:pivotFmt>
      <c:pivotFmt>
        <c:idx val="3344"/>
      </c:pivotFmt>
      <c:pivotFmt>
        <c:idx val="3345"/>
      </c:pivotFmt>
      <c:pivotFmt>
        <c:idx val="3346"/>
      </c:pivotFmt>
      <c:pivotFmt>
        <c:idx val="3347"/>
      </c:pivotFmt>
      <c:pivotFmt>
        <c:idx val="3348"/>
      </c:pivotFmt>
      <c:pivotFmt>
        <c:idx val="3349"/>
      </c:pivotFmt>
      <c:pivotFmt>
        <c:idx val="3350"/>
      </c:pivotFmt>
      <c:pivotFmt>
        <c:idx val="3351"/>
      </c:pivotFmt>
      <c:pivotFmt>
        <c:idx val="3352"/>
      </c:pivotFmt>
      <c:pivotFmt>
        <c:idx val="3353"/>
      </c:pivotFmt>
      <c:pivotFmt>
        <c:idx val="3354"/>
      </c:pivotFmt>
      <c:pivotFmt>
        <c:idx val="3355"/>
      </c:pivotFmt>
      <c:pivotFmt>
        <c:idx val="3356"/>
      </c:pivotFmt>
      <c:pivotFmt>
        <c:idx val="3357"/>
      </c:pivotFmt>
      <c:pivotFmt>
        <c:idx val="3358"/>
      </c:pivotFmt>
      <c:pivotFmt>
        <c:idx val="3359"/>
      </c:pivotFmt>
      <c:pivotFmt>
        <c:idx val="3360"/>
      </c:pivotFmt>
      <c:pivotFmt>
        <c:idx val="3361"/>
      </c:pivotFmt>
      <c:pivotFmt>
        <c:idx val="3362"/>
      </c:pivotFmt>
      <c:pivotFmt>
        <c:idx val="3363"/>
      </c:pivotFmt>
      <c:pivotFmt>
        <c:idx val="3364"/>
      </c:pivotFmt>
      <c:pivotFmt>
        <c:idx val="3365"/>
      </c:pivotFmt>
      <c:pivotFmt>
        <c:idx val="3366"/>
      </c:pivotFmt>
      <c:pivotFmt>
        <c:idx val="3367"/>
      </c:pivotFmt>
      <c:pivotFmt>
        <c:idx val="3368"/>
      </c:pivotFmt>
      <c:pivotFmt>
        <c:idx val="3369"/>
      </c:pivotFmt>
      <c:pivotFmt>
        <c:idx val="3370"/>
      </c:pivotFmt>
      <c:pivotFmt>
        <c:idx val="3371"/>
      </c:pivotFmt>
      <c:pivotFmt>
        <c:idx val="3372"/>
      </c:pivotFmt>
      <c:pivotFmt>
        <c:idx val="3373"/>
      </c:pivotFmt>
      <c:pivotFmt>
        <c:idx val="3374"/>
      </c:pivotFmt>
      <c:pivotFmt>
        <c:idx val="3375"/>
      </c:pivotFmt>
      <c:pivotFmt>
        <c:idx val="3376"/>
      </c:pivotFmt>
      <c:pivotFmt>
        <c:idx val="3377"/>
      </c:pivotFmt>
      <c:pivotFmt>
        <c:idx val="3378"/>
      </c:pivotFmt>
      <c:pivotFmt>
        <c:idx val="3379"/>
      </c:pivotFmt>
      <c:pivotFmt>
        <c:idx val="3380"/>
      </c:pivotFmt>
      <c:pivotFmt>
        <c:idx val="3381"/>
      </c:pivotFmt>
      <c:pivotFmt>
        <c:idx val="3382"/>
      </c:pivotFmt>
      <c:pivotFmt>
        <c:idx val="3383"/>
      </c:pivotFmt>
      <c:pivotFmt>
        <c:idx val="3384"/>
      </c:pivotFmt>
      <c:pivotFmt>
        <c:idx val="3385"/>
      </c:pivotFmt>
      <c:pivotFmt>
        <c:idx val="3386"/>
      </c:pivotFmt>
      <c:pivotFmt>
        <c:idx val="3387"/>
      </c:pivotFmt>
      <c:pivotFmt>
        <c:idx val="3388"/>
      </c:pivotFmt>
      <c:pivotFmt>
        <c:idx val="3389"/>
      </c:pivotFmt>
      <c:pivotFmt>
        <c:idx val="3390"/>
      </c:pivotFmt>
      <c:pivotFmt>
        <c:idx val="3391"/>
      </c:pivotFmt>
      <c:pivotFmt>
        <c:idx val="3392"/>
      </c:pivotFmt>
      <c:pivotFmt>
        <c:idx val="3393"/>
      </c:pivotFmt>
      <c:pivotFmt>
        <c:idx val="3394"/>
      </c:pivotFmt>
      <c:pivotFmt>
        <c:idx val="3395"/>
      </c:pivotFmt>
      <c:pivotFmt>
        <c:idx val="3396"/>
      </c:pivotFmt>
      <c:pivotFmt>
        <c:idx val="3397"/>
      </c:pivotFmt>
      <c:pivotFmt>
        <c:idx val="3398"/>
      </c:pivotFmt>
      <c:pivotFmt>
        <c:idx val="3399"/>
      </c:pivotFmt>
      <c:pivotFmt>
        <c:idx val="3400"/>
      </c:pivotFmt>
      <c:pivotFmt>
        <c:idx val="3401"/>
      </c:pivotFmt>
      <c:pivotFmt>
        <c:idx val="3402"/>
      </c:pivotFmt>
      <c:pivotFmt>
        <c:idx val="3403"/>
      </c:pivotFmt>
      <c:pivotFmt>
        <c:idx val="3404"/>
      </c:pivotFmt>
      <c:pivotFmt>
        <c:idx val="3405"/>
      </c:pivotFmt>
      <c:pivotFmt>
        <c:idx val="3406"/>
      </c:pivotFmt>
      <c:pivotFmt>
        <c:idx val="3407"/>
      </c:pivotFmt>
      <c:pivotFmt>
        <c:idx val="3408"/>
      </c:pivotFmt>
      <c:pivotFmt>
        <c:idx val="3409"/>
      </c:pivotFmt>
      <c:pivotFmt>
        <c:idx val="3410"/>
      </c:pivotFmt>
      <c:pivotFmt>
        <c:idx val="3411"/>
      </c:pivotFmt>
      <c:pivotFmt>
        <c:idx val="3412"/>
      </c:pivotFmt>
      <c:pivotFmt>
        <c:idx val="3413"/>
      </c:pivotFmt>
      <c:pivotFmt>
        <c:idx val="3414"/>
      </c:pivotFmt>
      <c:pivotFmt>
        <c:idx val="3415"/>
      </c:pivotFmt>
      <c:pivotFmt>
        <c:idx val="3416"/>
      </c:pivotFmt>
      <c:pivotFmt>
        <c:idx val="3417"/>
      </c:pivotFmt>
      <c:pivotFmt>
        <c:idx val="3418"/>
      </c:pivotFmt>
      <c:pivotFmt>
        <c:idx val="3419"/>
      </c:pivotFmt>
      <c:pivotFmt>
        <c:idx val="3420"/>
      </c:pivotFmt>
      <c:pivotFmt>
        <c:idx val="3421"/>
      </c:pivotFmt>
      <c:pivotFmt>
        <c:idx val="3422"/>
      </c:pivotFmt>
      <c:pivotFmt>
        <c:idx val="3423"/>
      </c:pivotFmt>
      <c:pivotFmt>
        <c:idx val="3424"/>
      </c:pivotFmt>
      <c:pivotFmt>
        <c:idx val="3425"/>
      </c:pivotFmt>
      <c:pivotFmt>
        <c:idx val="3426"/>
      </c:pivotFmt>
      <c:pivotFmt>
        <c:idx val="3427"/>
      </c:pivotFmt>
      <c:pivotFmt>
        <c:idx val="3428"/>
      </c:pivotFmt>
      <c:pivotFmt>
        <c:idx val="3429"/>
      </c:pivotFmt>
      <c:pivotFmt>
        <c:idx val="3430"/>
      </c:pivotFmt>
      <c:pivotFmt>
        <c:idx val="3431"/>
      </c:pivotFmt>
      <c:pivotFmt>
        <c:idx val="3432"/>
      </c:pivotFmt>
      <c:pivotFmt>
        <c:idx val="3433"/>
      </c:pivotFmt>
      <c:pivotFmt>
        <c:idx val="3434"/>
      </c:pivotFmt>
      <c:pivotFmt>
        <c:idx val="3435"/>
      </c:pivotFmt>
      <c:pivotFmt>
        <c:idx val="3436"/>
      </c:pivotFmt>
      <c:pivotFmt>
        <c:idx val="3437"/>
      </c:pivotFmt>
      <c:pivotFmt>
        <c:idx val="3438"/>
      </c:pivotFmt>
      <c:pivotFmt>
        <c:idx val="3439"/>
      </c:pivotFmt>
      <c:pivotFmt>
        <c:idx val="3440"/>
      </c:pivotFmt>
      <c:pivotFmt>
        <c:idx val="3441"/>
      </c:pivotFmt>
      <c:pivotFmt>
        <c:idx val="3442"/>
      </c:pivotFmt>
      <c:pivotFmt>
        <c:idx val="3443"/>
      </c:pivotFmt>
      <c:pivotFmt>
        <c:idx val="3444"/>
      </c:pivotFmt>
      <c:pivotFmt>
        <c:idx val="3445"/>
      </c:pivotFmt>
      <c:pivotFmt>
        <c:idx val="3446"/>
      </c:pivotFmt>
      <c:pivotFmt>
        <c:idx val="3447"/>
      </c:pivotFmt>
      <c:pivotFmt>
        <c:idx val="3448"/>
      </c:pivotFmt>
      <c:pivotFmt>
        <c:idx val="3449"/>
      </c:pivotFmt>
      <c:pivotFmt>
        <c:idx val="3450"/>
      </c:pivotFmt>
      <c:pivotFmt>
        <c:idx val="3451"/>
      </c:pivotFmt>
      <c:pivotFmt>
        <c:idx val="3452"/>
      </c:pivotFmt>
      <c:pivotFmt>
        <c:idx val="3453"/>
      </c:pivotFmt>
      <c:pivotFmt>
        <c:idx val="3454"/>
      </c:pivotFmt>
      <c:pivotFmt>
        <c:idx val="3455"/>
      </c:pivotFmt>
      <c:pivotFmt>
        <c:idx val="3456"/>
      </c:pivotFmt>
      <c:pivotFmt>
        <c:idx val="3457"/>
      </c:pivotFmt>
      <c:pivotFmt>
        <c:idx val="3458"/>
      </c:pivotFmt>
      <c:pivotFmt>
        <c:idx val="3459"/>
      </c:pivotFmt>
      <c:pivotFmt>
        <c:idx val="3460"/>
      </c:pivotFmt>
      <c:pivotFmt>
        <c:idx val="3461"/>
      </c:pivotFmt>
      <c:pivotFmt>
        <c:idx val="3462"/>
      </c:pivotFmt>
      <c:pivotFmt>
        <c:idx val="3463"/>
      </c:pivotFmt>
      <c:pivotFmt>
        <c:idx val="3464"/>
      </c:pivotFmt>
      <c:pivotFmt>
        <c:idx val="3465"/>
      </c:pivotFmt>
      <c:pivotFmt>
        <c:idx val="3466"/>
      </c:pivotFmt>
      <c:pivotFmt>
        <c:idx val="3467"/>
      </c:pivotFmt>
      <c:pivotFmt>
        <c:idx val="3468"/>
      </c:pivotFmt>
      <c:pivotFmt>
        <c:idx val="3469"/>
      </c:pivotFmt>
      <c:pivotFmt>
        <c:idx val="3470"/>
      </c:pivotFmt>
      <c:pivotFmt>
        <c:idx val="3471"/>
      </c:pivotFmt>
      <c:pivotFmt>
        <c:idx val="3472"/>
      </c:pivotFmt>
      <c:pivotFmt>
        <c:idx val="3473"/>
      </c:pivotFmt>
      <c:pivotFmt>
        <c:idx val="3474"/>
      </c:pivotFmt>
      <c:pivotFmt>
        <c:idx val="3475"/>
      </c:pivotFmt>
      <c:pivotFmt>
        <c:idx val="3476"/>
      </c:pivotFmt>
      <c:pivotFmt>
        <c:idx val="3477"/>
      </c:pivotFmt>
      <c:pivotFmt>
        <c:idx val="3478"/>
      </c:pivotFmt>
      <c:pivotFmt>
        <c:idx val="3479"/>
      </c:pivotFmt>
      <c:pivotFmt>
        <c:idx val="3480"/>
      </c:pivotFmt>
      <c:pivotFmt>
        <c:idx val="3481"/>
      </c:pivotFmt>
      <c:pivotFmt>
        <c:idx val="3482"/>
      </c:pivotFmt>
      <c:pivotFmt>
        <c:idx val="3483"/>
      </c:pivotFmt>
      <c:pivotFmt>
        <c:idx val="3484"/>
      </c:pivotFmt>
      <c:pivotFmt>
        <c:idx val="3485"/>
      </c:pivotFmt>
      <c:pivotFmt>
        <c:idx val="3486"/>
      </c:pivotFmt>
      <c:pivotFmt>
        <c:idx val="3487"/>
      </c:pivotFmt>
      <c:pivotFmt>
        <c:idx val="3488"/>
      </c:pivotFmt>
      <c:pivotFmt>
        <c:idx val="3489"/>
      </c:pivotFmt>
      <c:pivotFmt>
        <c:idx val="3490"/>
      </c:pivotFmt>
      <c:pivotFmt>
        <c:idx val="3491"/>
      </c:pivotFmt>
      <c:pivotFmt>
        <c:idx val="3492"/>
      </c:pivotFmt>
      <c:pivotFmt>
        <c:idx val="3493"/>
      </c:pivotFmt>
      <c:pivotFmt>
        <c:idx val="3494"/>
      </c:pivotFmt>
      <c:pivotFmt>
        <c:idx val="3495"/>
      </c:pivotFmt>
      <c:pivotFmt>
        <c:idx val="3496"/>
      </c:pivotFmt>
      <c:pivotFmt>
        <c:idx val="3497"/>
      </c:pivotFmt>
      <c:pivotFmt>
        <c:idx val="3498"/>
      </c:pivotFmt>
      <c:pivotFmt>
        <c:idx val="3499"/>
      </c:pivotFmt>
      <c:pivotFmt>
        <c:idx val="3500"/>
      </c:pivotFmt>
      <c:pivotFmt>
        <c:idx val="3501"/>
      </c:pivotFmt>
      <c:pivotFmt>
        <c:idx val="3502"/>
      </c:pivotFmt>
      <c:pivotFmt>
        <c:idx val="3503"/>
      </c:pivotFmt>
      <c:pivotFmt>
        <c:idx val="3504"/>
      </c:pivotFmt>
      <c:pivotFmt>
        <c:idx val="3505"/>
      </c:pivotFmt>
      <c:pivotFmt>
        <c:idx val="3506"/>
      </c:pivotFmt>
      <c:pivotFmt>
        <c:idx val="3507"/>
      </c:pivotFmt>
      <c:pivotFmt>
        <c:idx val="3508"/>
      </c:pivotFmt>
      <c:pivotFmt>
        <c:idx val="3509"/>
      </c:pivotFmt>
      <c:pivotFmt>
        <c:idx val="3510"/>
      </c:pivotFmt>
      <c:pivotFmt>
        <c:idx val="3511"/>
      </c:pivotFmt>
      <c:pivotFmt>
        <c:idx val="3512"/>
      </c:pivotFmt>
      <c:pivotFmt>
        <c:idx val="3513"/>
      </c:pivotFmt>
      <c:pivotFmt>
        <c:idx val="3514"/>
      </c:pivotFmt>
      <c:pivotFmt>
        <c:idx val="3515"/>
      </c:pivotFmt>
      <c:pivotFmt>
        <c:idx val="3516"/>
      </c:pivotFmt>
      <c:pivotFmt>
        <c:idx val="3517"/>
      </c:pivotFmt>
      <c:pivotFmt>
        <c:idx val="3518"/>
      </c:pivotFmt>
      <c:pivotFmt>
        <c:idx val="3519"/>
      </c:pivotFmt>
      <c:pivotFmt>
        <c:idx val="3520"/>
      </c:pivotFmt>
      <c:pivotFmt>
        <c:idx val="3521"/>
      </c:pivotFmt>
      <c:pivotFmt>
        <c:idx val="3522"/>
      </c:pivotFmt>
      <c:pivotFmt>
        <c:idx val="3523"/>
      </c:pivotFmt>
      <c:pivotFmt>
        <c:idx val="3524"/>
      </c:pivotFmt>
      <c:pivotFmt>
        <c:idx val="3525"/>
      </c:pivotFmt>
      <c:pivotFmt>
        <c:idx val="3526"/>
      </c:pivotFmt>
      <c:pivotFmt>
        <c:idx val="3527"/>
      </c:pivotFmt>
      <c:pivotFmt>
        <c:idx val="3528"/>
      </c:pivotFmt>
      <c:pivotFmt>
        <c:idx val="3529"/>
      </c:pivotFmt>
      <c:pivotFmt>
        <c:idx val="3530"/>
      </c:pivotFmt>
      <c:pivotFmt>
        <c:idx val="3531"/>
      </c:pivotFmt>
      <c:pivotFmt>
        <c:idx val="3532"/>
      </c:pivotFmt>
      <c:pivotFmt>
        <c:idx val="3533"/>
      </c:pivotFmt>
      <c:pivotFmt>
        <c:idx val="3534"/>
      </c:pivotFmt>
      <c:pivotFmt>
        <c:idx val="3535"/>
      </c:pivotFmt>
      <c:pivotFmt>
        <c:idx val="3536"/>
      </c:pivotFmt>
      <c:pivotFmt>
        <c:idx val="3537"/>
      </c:pivotFmt>
      <c:pivotFmt>
        <c:idx val="3538"/>
      </c:pivotFmt>
      <c:pivotFmt>
        <c:idx val="3539"/>
      </c:pivotFmt>
      <c:pivotFmt>
        <c:idx val="3540"/>
      </c:pivotFmt>
      <c:pivotFmt>
        <c:idx val="3541"/>
      </c:pivotFmt>
      <c:pivotFmt>
        <c:idx val="3542"/>
      </c:pivotFmt>
      <c:pivotFmt>
        <c:idx val="3543"/>
      </c:pivotFmt>
      <c:pivotFmt>
        <c:idx val="3544"/>
      </c:pivotFmt>
      <c:pivotFmt>
        <c:idx val="3545"/>
      </c:pivotFmt>
      <c:pivotFmt>
        <c:idx val="3546"/>
      </c:pivotFmt>
      <c:pivotFmt>
        <c:idx val="3547"/>
      </c:pivotFmt>
      <c:pivotFmt>
        <c:idx val="3548"/>
      </c:pivotFmt>
      <c:pivotFmt>
        <c:idx val="3549"/>
      </c:pivotFmt>
      <c:pivotFmt>
        <c:idx val="3550"/>
      </c:pivotFmt>
      <c:pivotFmt>
        <c:idx val="3551"/>
      </c:pivotFmt>
      <c:pivotFmt>
        <c:idx val="3552"/>
      </c:pivotFmt>
      <c:pivotFmt>
        <c:idx val="3553"/>
      </c:pivotFmt>
      <c:pivotFmt>
        <c:idx val="3554"/>
      </c:pivotFmt>
      <c:pivotFmt>
        <c:idx val="3555"/>
      </c:pivotFmt>
      <c:pivotFmt>
        <c:idx val="3556"/>
      </c:pivotFmt>
      <c:pivotFmt>
        <c:idx val="3557"/>
      </c:pivotFmt>
      <c:pivotFmt>
        <c:idx val="3558"/>
      </c:pivotFmt>
      <c:pivotFmt>
        <c:idx val="3559"/>
      </c:pivotFmt>
      <c:pivotFmt>
        <c:idx val="3560"/>
      </c:pivotFmt>
      <c:pivotFmt>
        <c:idx val="3561"/>
      </c:pivotFmt>
      <c:pivotFmt>
        <c:idx val="3562"/>
      </c:pivotFmt>
      <c:pivotFmt>
        <c:idx val="3563"/>
      </c:pivotFmt>
      <c:pivotFmt>
        <c:idx val="3564"/>
      </c:pivotFmt>
      <c:pivotFmt>
        <c:idx val="3565"/>
      </c:pivotFmt>
      <c:pivotFmt>
        <c:idx val="3566"/>
      </c:pivotFmt>
      <c:pivotFmt>
        <c:idx val="3567"/>
      </c:pivotFmt>
      <c:pivotFmt>
        <c:idx val="3568"/>
      </c:pivotFmt>
      <c:pivotFmt>
        <c:idx val="3569"/>
      </c:pivotFmt>
      <c:pivotFmt>
        <c:idx val="3570"/>
      </c:pivotFmt>
      <c:pivotFmt>
        <c:idx val="3571"/>
      </c:pivotFmt>
      <c:pivotFmt>
        <c:idx val="3572"/>
      </c:pivotFmt>
      <c:pivotFmt>
        <c:idx val="3573"/>
      </c:pivotFmt>
      <c:pivotFmt>
        <c:idx val="3574"/>
      </c:pivotFmt>
      <c:pivotFmt>
        <c:idx val="3575"/>
      </c:pivotFmt>
      <c:pivotFmt>
        <c:idx val="3576"/>
      </c:pivotFmt>
      <c:pivotFmt>
        <c:idx val="3577"/>
      </c:pivotFmt>
      <c:pivotFmt>
        <c:idx val="3578"/>
      </c:pivotFmt>
      <c:pivotFmt>
        <c:idx val="3579"/>
      </c:pivotFmt>
      <c:pivotFmt>
        <c:idx val="3580"/>
      </c:pivotFmt>
      <c:pivotFmt>
        <c:idx val="3581"/>
      </c:pivotFmt>
      <c:pivotFmt>
        <c:idx val="3582"/>
      </c:pivotFmt>
      <c:pivotFmt>
        <c:idx val="3583"/>
      </c:pivotFmt>
      <c:pivotFmt>
        <c:idx val="3584"/>
      </c:pivotFmt>
      <c:pivotFmt>
        <c:idx val="3585"/>
      </c:pivotFmt>
      <c:pivotFmt>
        <c:idx val="3586"/>
      </c:pivotFmt>
      <c:pivotFmt>
        <c:idx val="3587"/>
      </c:pivotFmt>
      <c:pivotFmt>
        <c:idx val="3588"/>
      </c:pivotFmt>
      <c:pivotFmt>
        <c:idx val="3589"/>
      </c:pivotFmt>
      <c:pivotFmt>
        <c:idx val="3590"/>
      </c:pivotFmt>
      <c:pivotFmt>
        <c:idx val="3591"/>
      </c:pivotFmt>
      <c:pivotFmt>
        <c:idx val="3592"/>
      </c:pivotFmt>
      <c:pivotFmt>
        <c:idx val="3593"/>
      </c:pivotFmt>
      <c:pivotFmt>
        <c:idx val="3594"/>
      </c:pivotFmt>
      <c:pivotFmt>
        <c:idx val="3595"/>
      </c:pivotFmt>
      <c:pivotFmt>
        <c:idx val="3596"/>
      </c:pivotFmt>
      <c:pivotFmt>
        <c:idx val="3597"/>
      </c:pivotFmt>
      <c:pivotFmt>
        <c:idx val="3598"/>
      </c:pivotFmt>
      <c:pivotFmt>
        <c:idx val="3599"/>
      </c:pivotFmt>
      <c:pivotFmt>
        <c:idx val="3600"/>
      </c:pivotFmt>
      <c:pivotFmt>
        <c:idx val="3601"/>
      </c:pivotFmt>
      <c:pivotFmt>
        <c:idx val="3602"/>
      </c:pivotFmt>
      <c:pivotFmt>
        <c:idx val="3603"/>
      </c:pivotFmt>
      <c:pivotFmt>
        <c:idx val="3604"/>
      </c:pivotFmt>
      <c:pivotFmt>
        <c:idx val="3605"/>
      </c:pivotFmt>
      <c:pivotFmt>
        <c:idx val="3606"/>
      </c:pivotFmt>
      <c:pivotFmt>
        <c:idx val="3607"/>
      </c:pivotFmt>
      <c:pivotFmt>
        <c:idx val="3608"/>
      </c:pivotFmt>
      <c:pivotFmt>
        <c:idx val="3609"/>
      </c:pivotFmt>
      <c:pivotFmt>
        <c:idx val="3610"/>
      </c:pivotFmt>
      <c:pivotFmt>
        <c:idx val="3611"/>
      </c:pivotFmt>
      <c:pivotFmt>
        <c:idx val="3612"/>
      </c:pivotFmt>
      <c:pivotFmt>
        <c:idx val="3613"/>
      </c:pivotFmt>
      <c:pivotFmt>
        <c:idx val="3614"/>
      </c:pivotFmt>
      <c:pivotFmt>
        <c:idx val="3615"/>
      </c:pivotFmt>
      <c:pivotFmt>
        <c:idx val="3616"/>
      </c:pivotFmt>
      <c:pivotFmt>
        <c:idx val="3617"/>
      </c:pivotFmt>
      <c:pivotFmt>
        <c:idx val="3618"/>
      </c:pivotFmt>
      <c:pivotFmt>
        <c:idx val="3619"/>
      </c:pivotFmt>
      <c:pivotFmt>
        <c:idx val="3620"/>
      </c:pivotFmt>
      <c:pivotFmt>
        <c:idx val="3621"/>
      </c:pivotFmt>
      <c:pivotFmt>
        <c:idx val="3622"/>
      </c:pivotFmt>
      <c:pivotFmt>
        <c:idx val="3623"/>
      </c:pivotFmt>
      <c:pivotFmt>
        <c:idx val="3624"/>
      </c:pivotFmt>
      <c:pivotFmt>
        <c:idx val="3625"/>
      </c:pivotFmt>
      <c:pivotFmt>
        <c:idx val="3626"/>
      </c:pivotFmt>
      <c:pivotFmt>
        <c:idx val="3627"/>
      </c:pivotFmt>
      <c:pivotFmt>
        <c:idx val="3628"/>
      </c:pivotFmt>
      <c:pivotFmt>
        <c:idx val="3629"/>
      </c:pivotFmt>
      <c:pivotFmt>
        <c:idx val="3630"/>
      </c:pivotFmt>
      <c:pivotFmt>
        <c:idx val="3631"/>
      </c:pivotFmt>
      <c:pivotFmt>
        <c:idx val="3632"/>
      </c:pivotFmt>
      <c:pivotFmt>
        <c:idx val="3633"/>
      </c:pivotFmt>
      <c:pivotFmt>
        <c:idx val="3634"/>
      </c:pivotFmt>
      <c:pivotFmt>
        <c:idx val="3635"/>
      </c:pivotFmt>
      <c:pivotFmt>
        <c:idx val="3636"/>
      </c:pivotFmt>
      <c:pivotFmt>
        <c:idx val="3637"/>
      </c:pivotFmt>
      <c:pivotFmt>
        <c:idx val="3638"/>
      </c:pivotFmt>
      <c:pivotFmt>
        <c:idx val="3639"/>
      </c:pivotFmt>
      <c:pivotFmt>
        <c:idx val="3640"/>
      </c:pivotFmt>
      <c:pivotFmt>
        <c:idx val="3641"/>
      </c:pivotFmt>
      <c:pivotFmt>
        <c:idx val="3642"/>
      </c:pivotFmt>
      <c:pivotFmt>
        <c:idx val="3643"/>
      </c:pivotFmt>
      <c:pivotFmt>
        <c:idx val="3644"/>
      </c:pivotFmt>
      <c:pivotFmt>
        <c:idx val="3645"/>
      </c:pivotFmt>
      <c:pivotFmt>
        <c:idx val="3646"/>
      </c:pivotFmt>
      <c:pivotFmt>
        <c:idx val="3647"/>
      </c:pivotFmt>
      <c:pivotFmt>
        <c:idx val="3648"/>
      </c:pivotFmt>
      <c:pivotFmt>
        <c:idx val="3649"/>
      </c:pivotFmt>
      <c:pivotFmt>
        <c:idx val="3650"/>
      </c:pivotFmt>
      <c:pivotFmt>
        <c:idx val="3651"/>
      </c:pivotFmt>
      <c:pivotFmt>
        <c:idx val="3652"/>
      </c:pivotFmt>
      <c:pivotFmt>
        <c:idx val="3653"/>
      </c:pivotFmt>
      <c:pivotFmt>
        <c:idx val="3654"/>
      </c:pivotFmt>
      <c:pivotFmt>
        <c:idx val="3655"/>
      </c:pivotFmt>
      <c:pivotFmt>
        <c:idx val="3656"/>
      </c:pivotFmt>
      <c:pivotFmt>
        <c:idx val="3657"/>
      </c:pivotFmt>
      <c:pivotFmt>
        <c:idx val="3658"/>
      </c:pivotFmt>
      <c:pivotFmt>
        <c:idx val="3659"/>
      </c:pivotFmt>
      <c:pivotFmt>
        <c:idx val="3660"/>
      </c:pivotFmt>
      <c:pivotFmt>
        <c:idx val="3661"/>
      </c:pivotFmt>
      <c:pivotFmt>
        <c:idx val="3662"/>
      </c:pivotFmt>
      <c:pivotFmt>
        <c:idx val="3663"/>
      </c:pivotFmt>
      <c:pivotFmt>
        <c:idx val="3664"/>
      </c:pivotFmt>
      <c:pivotFmt>
        <c:idx val="3665"/>
      </c:pivotFmt>
      <c:pivotFmt>
        <c:idx val="3666"/>
      </c:pivotFmt>
      <c:pivotFmt>
        <c:idx val="3667"/>
      </c:pivotFmt>
      <c:pivotFmt>
        <c:idx val="3668"/>
      </c:pivotFmt>
      <c:pivotFmt>
        <c:idx val="3669"/>
      </c:pivotFmt>
      <c:pivotFmt>
        <c:idx val="3670"/>
      </c:pivotFmt>
      <c:pivotFmt>
        <c:idx val="3671"/>
      </c:pivotFmt>
      <c:pivotFmt>
        <c:idx val="3672"/>
      </c:pivotFmt>
      <c:pivotFmt>
        <c:idx val="3673"/>
      </c:pivotFmt>
      <c:pivotFmt>
        <c:idx val="3674"/>
      </c:pivotFmt>
      <c:pivotFmt>
        <c:idx val="3675"/>
      </c:pivotFmt>
      <c:pivotFmt>
        <c:idx val="3676"/>
      </c:pivotFmt>
      <c:pivotFmt>
        <c:idx val="3677"/>
      </c:pivotFmt>
      <c:pivotFmt>
        <c:idx val="3678"/>
      </c:pivotFmt>
      <c:pivotFmt>
        <c:idx val="3679"/>
      </c:pivotFmt>
      <c:pivotFmt>
        <c:idx val="3680"/>
      </c:pivotFmt>
      <c:pivotFmt>
        <c:idx val="3681"/>
      </c:pivotFmt>
      <c:pivotFmt>
        <c:idx val="3682"/>
      </c:pivotFmt>
      <c:pivotFmt>
        <c:idx val="3683"/>
      </c:pivotFmt>
      <c:pivotFmt>
        <c:idx val="3684"/>
      </c:pivotFmt>
      <c:pivotFmt>
        <c:idx val="3685"/>
      </c:pivotFmt>
      <c:pivotFmt>
        <c:idx val="3686"/>
      </c:pivotFmt>
      <c:pivotFmt>
        <c:idx val="3687"/>
      </c:pivotFmt>
      <c:pivotFmt>
        <c:idx val="3688"/>
      </c:pivotFmt>
      <c:pivotFmt>
        <c:idx val="3689"/>
      </c:pivotFmt>
      <c:pivotFmt>
        <c:idx val="3690"/>
      </c:pivotFmt>
      <c:pivotFmt>
        <c:idx val="3691"/>
      </c:pivotFmt>
      <c:pivotFmt>
        <c:idx val="3692"/>
      </c:pivotFmt>
      <c:pivotFmt>
        <c:idx val="3693"/>
      </c:pivotFmt>
      <c:pivotFmt>
        <c:idx val="3694"/>
      </c:pivotFmt>
      <c:pivotFmt>
        <c:idx val="3695"/>
      </c:pivotFmt>
      <c:pivotFmt>
        <c:idx val="3696"/>
      </c:pivotFmt>
      <c:pivotFmt>
        <c:idx val="3697"/>
      </c:pivotFmt>
      <c:pivotFmt>
        <c:idx val="3698"/>
      </c:pivotFmt>
      <c:pivotFmt>
        <c:idx val="3699"/>
      </c:pivotFmt>
      <c:pivotFmt>
        <c:idx val="3700"/>
      </c:pivotFmt>
      <c:pivotFmt>
        <c:idx val="3701"/>
      </c:pivotFmt>
      <c:pivotFmt>
        <c:idx val="3702"/>
      </c:pivotFmt>
      <c:pivotFmt>
        <c:idx val="3703"/>
      </c:pivotFmt>
      <c:pivotFmt>
        <c:idx val="3704"/>
      </c:pivotFmt>
      <c:pivotFmt>
        <c:idx val="3705"/>
      </c:pivotFmt>
      <c:pivotFmt>
        <c:idx val="3706"/>
      </c:pivotFmt>
      <c:pivotFmt>
        <c:idx val="3707"/>
      </c:pivotFmt>
      <c:pivotFmt>
        <c:idx val="3708"/>
      </c:pivotFmt>
      <c:pivotFmt>
        <c:idx val="3709"/>
      </c:pivotFmt>
      <c:pivotFmt>
        <c:idx val="3710"/>
      </c:pivotFmt>
      <c:pivotFmt>
        <c:idx val="3711"/>
      </c:pivotFmt>
      <c:pivotFmt>
        <c:idx val="3712"/>
      </c:pivotFmt>
      <c:pivotFmt>
        <c:idx val="3713"/>
      </c:pivotFmt>
      <c:pivotFmt>
        <c:idx val="3714"/>
      </c:pivotFmt>
      <c:pivotFmt>
        <c:idx val="3715"/>
      </c:pivotFmt>
      <c:pivotFmt>
        <c:idx val="3716"/>
      </c:pivotFmt>
      <c:pivotFmt>
        <c:idx val="3717"/>
      </c:pivotFmt>
      <c:pivotFmt>
        <c:idx val="3718"/>
      </c:pivotFmt>
      <c:pivotFmt>
        <c:idx val="3719"/>
      </c:pivotFmt>
      <c:pivotFmt>
        <c:idx val="3720"/>
      </c:pivotFmt>
      <c:pivotFmt>
        <c:idx val="3721"/>
      </c:pivotFmt>
      <c:pivotFmt>
        <c:idx val="3722"/>
      </c:pivotFmt>
      <c:pivotFmt>
        <c:idx val="3723"/>
      </c:pivotFmt>
      <c:pivotFmt>
        <c:idx val="3724"/>
      </c:pivotFmt>
      <c:pivotFmt>
        <c:idx val="3725"/>
      </c:pivotFmt>
      <c:pivotFmt>
        <c:idx val="3726"/>
      </c:pivotFmt>
      <c:pivotFmt>
        <c:idx val="3727"/>
      </c:pivotFmt>
      <c:pivotFmt>
        <c:idx val="3728"/>
      </c:pivotFmt>
      <c:pivotFmt>
        <c:idx val="3729"/>
      </c:pivotFmt>
      <c:pivotFmt>
        <c:idx val="3730"/>
      </c:pivotFmt>
      <c:pivotFmt>
        <c:idx val="3731"/>
      </c:pivotFmt>
      <c:pivotFmt>
        <c:idx val="3732"/>
      </c:pivotFmt>
      <c:pivotFmt>
        <c:idx val="3733"/>
      </c:pivotFmt>
      <c:pivotFmt>
        <c:idx val="3734"/>
      </c:pivotFmt>
      <c:pivotFmt>
        <c:idx val="3735"/>
      </c:pivotFmt>
      <c:pivotFmt>
        <c:idx val="3736"/>
      </c:pivotFmt>
      <c:pivotFmt>
        <c:idx val="3737"/>
      </c:pivotFmt>
      <c:pivotFmt>
        <c:idx val="3738"/>
      </c:pivotFmt>
      <c:pivotFmt>
        <c:idx val="3739"/>
      </c:pivotFmt>
      <c:pivotFmt>
        <c:idx val="3740"/>
      </c:pivotFmt>
      <c:pivotFmt>
        <c:idx val="3741"/>
      </c:pivotFmt>
      <c:pivotFmt>
        <c:idx val="3742"/>
      </c:pivotFmt>
      <c:pivotFmt>
        <c:idx val="3743"/>
      </c:pivotFmt>
      <c:pivotFmt>
        <c:idx val="3744"/>
      </c:pivotFmt>
      <c:pivotFmt>
        <c:idx val="3745"/>
      </c:pivotFmt>
      <c:pivotFmt>
        <c:idx val="3746"/>
      </c:pivotFmt>
      <c:pivotFmt>
        <c:idx val="3747"/>
      </c:pivotFmt>
      <c:pivotFmt>
        <c:idx val="3748"/>
      </c:pivotFmt>
      <c:pivotFmt>
        <c:idx val="3749"/>
      </c:pivotFmt>
      <c:pivotFmt>
        <c:idx val="3750"/>
      </c:pivotFmt>
      <c:pivotFmt>
        <c:idx val="3751"/>
      </c:pivotFmt>
      <c:pivotFmt>
        <c:idx val="3752"/>
      </c:pivotFmt>
      <c:pivotFmt>
        <c:idx val="3753"/>
      </c:pivotFmt>
      <c:pivotFmt>
        <c:idx val="3754"/>
      </c:pivotFmt>
      <c:pivotFmt>
        <c:idx val="3755"/>
      </c:pivotFmt>
      <c:pivotFmt>
        <c:idx val="3756"/>
      </c:pivotFmt>
      <c:pivotFmt>
        <c:idx val="3757"/>
      </c:pivotFmt>
      <c:pivotFmt>
        <c:idx val="3758"/>
      </c:pivotFmt>
      <c:pivotFmt>
        <c:idx val="3759"/>
      </c:pivotFmt>
      <c:pivotFmt>
        <c:idx val="3760"/>
      </c:pivotFmt>
      <c:pivotFmt>
        <c:idx val="3761"/>
      </c:pivotFmt>
      <c:pivotFmt>
        <c:idx val="3762"/>
      </c:pivotFmt>
      <c:pivotFmt>
        <c:idx val="3763"/>
      </c:pivotFmt>
      <c:pivotFmt>
        <c:idx val="3764"/>
      </c:pivotFmt>
      <c:pivotFmt>
        <c:idx val="3765"/>
      </c:pivotFmt>
      <c:pivotFmt>
        <c:idx val="3766"/>
      </c:pivotFmt>
      <c:pivotFmt>
        <c:idx val="3767"/>
      </c:pivotFmt>
      <c:pivotFmt>
        <c:idx val="3768"/>
      </c:pivotFmt>
      <c:pivotFmt>
        <c:idx val="3769"/>
      </c:pivotFmt>
      <c:pivotFmt>
        <c:idx val="3770"/>
      </c:pivotFmt>
      <c:pivotFmt>
        <c:idx val="3771"/>
      </c:pivotFmt>
      <c:pivotFmt>
        <c:idx val="3772"/>
      </c:pivotFmt>
      <c:pivotFmt>
        <c:idx val="3773"/>
      </c:pivotFmt>
      <c:pivotFmt>
        <c:idx val="3774"/>
      </c:pivotFmt>
      <c:pivotFmt>
        <c:idx val="3775"/>
      </c:pivotFmt>
      <c:pivotFmt>
        <c:idx val="3776"/>
      </c:pivotFmt>
      <c:pivotFmt>
        <c:idx val="3777"/>
      </c:pivotFmt>
      <c:pivotFmt>
        <c:idx val="3778"/>
      </c:pivotFmt>
      <c:pivotFmt>
        <c:idx val="3779"/>
      </c:pivotFmt>
      <c:pivotFmt>
        <c:idx val="3780"/>
      </c:pivotFmt>
      <c:pivotFmt>
        <c:idx val="3781"/>
      </c:pivotFmt>
      <c:pivotFmt>
        <c:idx val="3782"/>
      </c:pivotFmt>
      <c:pivotFmt>
        <c:idx val="3783"/>
      </c:pivotFmt>
      <c:pivotFmt>
        <c:idx val="3784"/>
      </c:pivotFmt>
      <c:pivotFmt>
        <c:idx val="3785"/>
      </c:pivotFmt>
      <c:pivotFmt>
        <c:idx val="3786"/>
      </c:pivotFmt>
      <c:pivotFmt>
        <c:idx val="3787"/>
      </c:pivotFmt>
      <c:pivotFmt>
        <c:idx val="3788"/>
      </c:pivotFmt>
      <c:pivotFmt>
        <c:idx val="3789"/>
      </c:pivotFmt>
      <c:pivotFmt>
        <c:idx val="3790"/>
      </c:pivotFmt>
      <c:pivotFmt>
        <c:idx val="3791"/>
      </c:pivotFmt>
      <c:pivotFmt>
        <c:idx val="3792"/>
      </c:pivotFmt>
      <c:pivotFmt>
        <c:idx val="3793"/>
      </c:pivotFmt>
      <c:pivotFmt>
        <c:idx val="3794"/>
      </c:pivotFmt>
      <c:pivotFmt>
        <c:idx val="3795"/>
      </c:pivotFmt>
      <c:pivotFmt>
        <c:idx val="3796"/>
      </c:pivotFmt>
      <c:pivotFmt>
        <c:idx val="3797"/>
      </c:pivotFmt>
      <c:pivotFmt>
        <c:idx val="3798"/>
      </c:pivotFmt>
      <c:pivotFmt>
        <c:idx val="3799"/>
      </c:pivotFmt>
      <c:pivotFmt>
        <c:idx val="3800"/>
      </c:pivotFmt>
      <c:pivotFmt>
        <c:idx val="3801"/>
      </c:pivotFmt>
      <c:pivotFmt>
        <c:idx val="3802"/>
      </c:pivotFmt>
      <c:pivotFmt>
        <c:idx val="3803"/>
      </c:pivotFmt>
      <c:pivotFmt>
        <c:idx val="3804"/>
      </c:pivotFmt>
      <c:pivotFmt>
        <c:idx val="3805"/>
      </c:pivotFmt>
      <c:pivotFmt>
        <c:idx val="3806"/>
      </c:pivotFmt>
      <c:pivotFmt>
        <c:idx val="3807"/>
      </c:pivotFmt>
      <c:pivotFmt>
        <c:idx val="3808"/>
      </c:pivotFmt>
      <c:pivotFmt>
        <c:idx val="3809"/>
      </c:pivotFmt>
      <c:pivotFmt>
        <c:idx val="3810"/>
      </c:pivotFmt>
      <c:pivotFmt>
        <c:idx val="3811"/>
      </c:pivotFmt>
      <c:pivotFmt>
        <c:idx val="3812"/>
      </c:pivotFmt>
      <c:pivotFmt>
        <c:idx val="3813"/>
      </c:pivotFmt>
      <c:pivotFmt>
        <c:idx val="3814"/>
      </c:pivotFmt>
      <c:pivotFmt>
        <c:idx val="3815"/>
      </c:pivotFmt>
      <c:pivotFmt>
        <c:idx val="3816"/>
      </c:pivotFmt>
      <c:pivotFmt>
        <c:idx val="3817"/>
      </c:pivotFmt>
      <c:pivotFmt>
        <c:idx val="3818"/>
      </c:pivotFmt>
      <c:pivotFmt>
        <c:idx val="3819"/>
      </c:pivotFmt>
      <c:pivotFmt>
        <c:idx val="3820"/>
      </c:pivotFmt>
      <c:pivotFmt>
        <c:idx val="3821"/>
      </c:pivotFmt>
      <c:pivotFmt>
        <c:idx val="3822"/>
      </c:pivotFmt>
      <c:pivotFmt>
        <c:idx val="3823"/>
      </c:pivotFmt>
      <c:pivotFmt>
        <c:idx val="3824"/>
      </c:pivotFmt>
      <c:pivotFmt>
        <c:idx val="3825"/>
      </c:pivotFmt>
      <c:pivotFmt>
        <c:idx val="3826"/>
      </c:pivotFmt>
      <c:pivotFmt>
        <c:idx val="3827"/>
      </c:pivotFmt>
      <c:pivotFmt>
        <c:idx val="3828"/>
      </c:pivotFmt>
      <c:pivotFmt>
        <c:idx val="3829"/>
      </c:pivotFmt>
      <c:pivotFmt>
        <c:idx val="3830"/>
      </c:pivotFmt>
      <c:pivotFmt>
        <c:idx val="3831"/>
      </c:pivotFmt>
      <c:pivotFmt>
        <c:idx val="3832"/>
      </c:pivotFmt>
      <c:pivotFmt>
        <c:idx val="3833"/>
      </c:pivotFmt>
      <c:pivotFmt>
        <c:idx val="3834"/>
      </c:pivotFmt>
      <c:pivotFmt>
        <c:idx val="3835"/>
      </c:pivotFmt>
      <c:pivotFmt>
        <c:idx val="3836"/>
      </c:pivotFmt>
      <c:pivotFmt>
        <c:idx val="3837"/>
      </c:pivotFmt>
      <c:pivotFmt>
        <c:idx val="3838"/>
      </c:pivotFmt>
      <c:pivotFmt>
        <c:idx val="3839"/>
      </c:pivotFmt>
      <c:pivotFmt>
        <c:idx val="3840"/>
      </c:pivotFmt>
      <c:pivotFmt>
        <c:idx val="3841"/>
      </c:pivotFmt>
      <c:pivotFmt>
        <c:idx val="3842"/>
      </c:pivotFmt>
      <c:pivotFmt>
        <c:idx val="3843"/>
      </c:pivotFmt>
      <c:pivotFmt>
        <c:idx val="3844"/>
      </c:pivotFmt>
      <c:pivotFmt>
        <c:idx val="3845"/>
      </c:pivotFmt>
      <c:pivotFmt>
        <c:idx val="3846"/>
      </c:pivotFmt>
      <c:pivotFmt>
        <c:idx val="3847"/>
      </c:pivotFmt>
      <c:pivotFmt>
        <c:idx val="3848"/>
      </c:pivotFmt>
      <c:pivotFmt>
        <c:idx val="3849"/>
      </c:pivotFmt>
      <c:pivotFmt>
        <c:idx val="3850"/>
      </c:pivotFmt>
      <c:pivotFmt>
        <c:idx val="3851"/>
      </c:pivotFmt>
      <c:pivotFmt>
        <c:idx val="3852"/>
      </c:pivotFmt>
      <c:pivotFmt>
        <c:idx val="3853"/>
      </c:pivotFmt>
      <c:pivotFmt>
        <c:idx val="3854"/>
      </c:pivotFmt>
      <c:pivotFmt>
        <c:idx val="3855"/>
      </c:pivotFmt>
      <c:pivotFmt>
        <c:idx val="3856"/>
      </c:pivotFmt>
      <c:pivotFmt>
        <c:idx val="3857"/>
      </c:pivotFmt>
      <c:pivotFmt>
        <c:idx val="3858"/>
      </c:pivotFmt>
      <c:pivotFmt>
        <c:idx val="3859"/>
      </c:pivotFmt>
      <c:pivotFmt>
        <c:idx val="3860"/>
      </c:pivotFmt>
      <c:pivotFmt>
        <c:idx val="3861"/>
      </c:pivotFmt>
      <c:pivotFmt>
        <c:idx val="3862"/>
      </c:pivotFmt>
      <c:pivotFmt>
        <c:idx val="3863"/>
      </c:pivotFmt>
      <c:pivotFmt>
        <c:idx val="3864"/>
      </c:pivotFmt>
      <c:pivotFmt>
        <c:idx val="3865"/>
      </c:pivotFmt>
      <c:pivotFmt>
        <c:idx val="3866"/>
      </c:pivotFmt>
      <c:pivotFmt>
        <c:idx val="3867"/>
      </c:pivotFmt>
      <c:pivotFmt>
        <c:idx val="3868"/>
      </c:pivotFmt>
      <c:pivotFmt>
        <c:idx val="3869"/>
      </c:pivotFmt>
      <c:pivotFmt>
        <c:idx val="3870"/>
      </c:pivotFmt>
      <c:pivotFmt>
        <c:idx val="3871"/>
      </c:pivotFmt>
      <c:pivotFmt>
        <c:idx val="3872"/>
      </c:pivotFmt>
      <c:pivotFmt>
        <c:idx val="38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4"/>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pivotFmt>
      <c:pivotFmt>
        <c:idx val="3875"/>
      </c:pivotFmt>
      <c:pivotFmt>
        <c:idx val="3876"/>
      </c:pivotFmt>
      <c:pivotFmt>
        <c:idx val="3877"/>
      </c:pivotFmt>
      <c:pivotFmt>
        <c:idx val="3878"/>
      </c:pivotFmt>
      <c:pivotFmt>
        <c:idx val="3879"/>
      </c:pivotFmt>
      <c:pivotFmt>
        <c:idx val="3880"/>
      </c:pivotFmt>
      <c:pivotFmt>
        <c:idx val="3881"/>
      </c:pivotFmt>
      <c:pivotFmt>
        <c:idx val="38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83"/>
      </c:pivotFmt>
      <c:pivotFmt>
        <c:idx val="3884"/>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3885"/>
      </c:pivotFmt>
      <c:pivotFmt>
        <c:idx val="388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3887"/>
      </c:pivotFmt>
      <c:pivotFmt>
        <c:idx val="3888"/>
      </c:pivotFmt>
      <c:pivotFmt>
        <c:idx val="3889"/>
      </c:pivotFmt>
      <c:pivotFmt>
        <c:idx val="3890"/>
      </c:pivotFmt>
      <c:pivotFmt>
        <c:idx val="3891"/>
      </c:pivotFmt>
      <c:pivotFmt>
        <c:idx val="3892"/>
      </c:pivotFmt>
      <c:pivotFmt>
        <c:idx val="3893"/>
      </c:pivotFmt>
      <c:pivotFmt>
        <c:idx val="3894"/>
      </c:pivotFmt>
      <c:pivotFmt>
        <c:idx val="3895"/>
      </c:pivotFmt>
      <c:pivotFmt>
        <c:idx val="3896"/>
      </c:pivotFmt>
      <c:pivotFmt>
        <c:idx val="3897"/>
      </c:pivotFmt>
      <c:pivotFmt>
        <c:idx val="3898"/>
      </c:pivotFmt>
      <c:pivotFmt>
        <c:idx val="3899"/>
      </c:pivotFmt>
      <c:pivotFmt>
        <c:idx val="3900"/>
      </c:pivotFmt>
      <c:pivotFmt>
        <c:idx val="3901"/>
      </c:pivotFmt>
      <c:pivotFmt>
        <c:idx val="3902"/>
      </c:pivotFmt>
      <c:pivotFmt>
        <c:idx val="3903"/>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pivotFmt>
      <c:pivotFmt>
        <c:idx val="3904"/>
      </c:pivotFmt>
      <c:pivotFmt>
        <c:idx val="3905"/>
      </c:pivotFmt>
      <c:pivotFmt>
        <c:idx val="3906"/>
      </c:pivotFmt>
      <c:pivotFmt>
        <c:idx val="3907"/>
      </c:pivotFmt>
      <c:pivotFmt>
        <c:idx val="3908"/>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3909"/>
      </c:pivotFmt>
      <c:pivotFmt>
        <c:idx val="3910"/>
      </c:pivotFmt>
      <c:pivotFmt>
        <c:idx val="3911"/>
      </c:pivotFmt>
      <c:pivotFmt>
        <c:idx val="3912"/>
      </c:pivotFmt>
      <c:pivotFmt>
        <c:idx val="3913"/>
      </c:pivotFmt>
      <c:pivotFmt>
        <c:idx val="3914"/>
      </c:pivotFmt>
      <c:pivotFmt>
        <c:idx val="3915"/>
      </c:pivotFmt>
      <c:pivotFmt>
        <c:idx val="3916"/>
      </c:pivotFmt>
      <c:pivotFmt>
        <c:idx val="3917"/>
      </c:pivotFmt>
      <c:pivotFmt>
        <c:idx val="3918"/>
      </c:pivotFmt>
      <c:pivotFmt>
        <c:idx val="3919"/>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pivotFmt>
      <c:pivotFmt>
        <c:idx val="3920"/>
      </c:pivotFmt>
      <c:pivotFmt>
        <c:idx val="3921"/>
      </c:pivotFmt>
      <c:pivotFmt>
        <c:idx val="3922"/>
      </c:pivotFmt>
      <c:pivotFmt>
        <c:idx val="3923"/>
      </c:pivotFmt>
      <c:pivotFmt>
        <c:idx val="3924"/>
      </c:pivotFmt>
      <c:pivotFmt>
        <c:idx val="3925"/>
      </c:pivotFmt>
      <c:pivotFmt>
        <c:idx val="3926"/>
      </c:pivotFmt>
      <c:pivotFmt>
        <c:idx val="3927"/>
      </c:pivotFmt>
      <c:pivotFmt>
        <c:idx val="3928"/>
      </c:pivotFmt>
      <c:pivotFmt>
        <c:idx val="3929"/>
      </c:pivotFmt>
      <c:pivotFmt>
        <c:idx val="3930"/>
      </c:pivotFmt>
      <c:pivotFmt>
        <c:idx val="3931"/>
      </c:pivotFmt>
      <c:pivotFmt>
        <c:idx val="3932"/>
      </c:pivotFmt>
      <c:pivotFmt>
        <c:idx val="3933"/>
      </c:pivotFmt>
      <c:pivotFmt>
        <c:idx val="3934"/>
      </c:pivotFmt>
      <c:pivotFmt>
        <c:idx val="3935"/>
      </c:pivotFmt>
      <c:pivotFmt>
        <c:idx val="3936"/>
      </c:pivotFmt>
      <c:pivotFmt>
        <c:idx val="3937"/>
      </c:pivotFmt>
      <c:pivotFmt>
        <c:idx val="3938"/>
      </c:pivotFmt>
      <c:pivotFmt>
        <c:idx val="3939"/>
      </c:pivotFmt>
      <c:pivotFmt>
        <c:idx val="3940"/>
      </c:pivotFmt>
      <c:pivotFmt>
        <c:idx val="3941"/>
      </c:pivotFmt>
      <c:pivotFmt>
        <c:idx val="3942"/>
      </c:pivotFmt>
      <c:pivotFmt>
        <c:idx val="3943"/>
      </c:pivotFmt>
      <c:pivotFmt>
        <c:idx val="3944"/>
      </c:pivotFmt>
      <c:pivotFmt>
        <c:idx val="3945"/>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3946"/>
      </c:pivotFmt>
      <c:pivotFmt>
        <c:idx val="3947"/>
      </c:pivotFmt>
      <c:pivotFmt>
        <c:idx val="3948"/>
      </c:pivotFmt>
      <c:pivotFmt>
        <c:idx val="3949"/>
      </c:pivotFmt>
      <c:pivotFmt>
        <c:idx val="3950"/>
      </c:pivotFmt>
      <c:pivotFmt>
        <c:idx val="3951"/>
      </c:pivotFmt>
      <c:pivotFmt>
        <c:idx val="3952"/>
      </c:pivotFmt>
      <c:pivotFmt>
        <c:idx val="3953"/>
      </c:pivotFmt>
      <c:pivotFmt>
        <c:idx val="3954"/>
      </c:pivotFmt>
      <c:pivotFmt>
        <c:idx val="3955"/>
      </c:pivotFmt>
      <c:pivotFmt>
        <c:idx val="3956"/>
      </c:pivotFmt>
      <c:pivotFmt>
        <c:idx val="3957"/>
      </c:pivotFmt>
      <c:pivotFmt>
        <c:idx val="3958"/>
      </c:pivotFmt>
      <c:pivotFmt>
        <c:idx val="3959"/>
      </c:pivotFmt>
      <c:pivotFmt>
        <c:idx val="3960"/>
      </c:pivotFmt>
      <c:pivotFmt>
        <c:idx val="3961"/>
      </c:pivotFmt>
      <c:pivotFmt>
        <c:idx val="3962"/>
      </c:pivotFmt>
      <c:pivotFmt>
        <c:idx val="3963"/>
      </c:pivotFmt>
      <c:pivotFmt>
        <c:idx val="3964"/>
      </c:pivotFmt>
      <c:pivotFmt>
        <c:idx val="3965"/>
      </c:pivotFmt>
      <c:pivotFmt>
        <c:idx val="3966"/>
      </c:pivotFmt>
      <c:pivotFmt>
        <c:idx val="3967"/>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pivotFmt>
      <c:pivotFmt>
        <c:idx val="3968"/>
      </c:pivotFmt>
      <c:pivotFmt>
        <c:idx val="3969"/>
      </c:pivotFmt>
      <c:pivotFmt>
        <c:idx val="3970"/>
      </c:pivotFmt>
      <c:pivotFmt>
        <c:idx val="3971"/>
      </c:pivotFmt>
      <c:pivotFmt>
        <c:idx val="3972"/>
      </c:pivotFmt>
      <c:pivotFmt>
        <c:idx val="3973"/>
      </c:pivotFmt>
      <c:pivotFmt>
        <c:idx val="3974"/>
      </c:pivotFmt>
      <c:pivotFmt>
        <c:idx val="3975"/>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pivotFmt>
      <c:pivotFmt>
        <c:idx val="3976"/>
      </c:pivotFmt>
      <c:pivotFmt>
        <c:idx val="3977"/>
      </c:pivotFmt>
      <c:pivotFmt>
        <c:idx val="3978"/>
      </c:pivotFmt>
      <c:pivotFmt>
        <c:idx val="3979"/>
      </c:pivotFmt>
      <c:pivotFmt>
        <c:idx val="3980"/>
      </c:pivotFmt>
      <c:pivotFmt>
        <c:idx val="3981"/>
      </c:pivotFmt>
      <c:pivotFmt>
        <c:idx val="3982"/>
      </c:pivotFmt>
      <c:pivotFmt>
        <c:idx val="3983"/>
      </c:pivotFmt>
      <c:pivotFmt>
        <c:idx val="3984"/>
      </c:pivotFmt>
      <c:pivotFmt>
        <c:idx val="3985"/>
      </c:pivotFmt>
      <c:pivotFmt>
        <c:idx val="3986"/>
      </c:pivotFmt>
      <c:pivotFmt>
        <c:idx val="3987"/>
      </c:pivotFmt>
      <c:pivotFmt>
        <c:idx val="3988"/>
      </c:pivotFmt>
      <c:pivotFmt>
        <c:idx val="3989"/>
      </c:pivotFmt>
      <c:pivotFmt>
        <c:idx val="3990"/>
      </c:pivotFmt>
      <c:pivotFmt>
        <c:idx val="3991"/>
      </c:pivotFmt>
      <c:pivotFmt>
        <c:idx val="3992"/>
      </c:pivotFmt>
      <c:pivotFmt>
        <c:idx val="3993"/>
      </c:pivotFmt>
      <c:pivotFmt>
        <c:idx val="3994"/>
      </c:pivotFmt>
      <c:pivotFmt>
        <c:idx val="3995"/>
      </c:pivotFmt>
      <c:pivotFmt>
        <c:idx val="3996"/>
      </c:pivotFmt>
      <c:pivotFmt>
        <c:idx val="3997"/>
      </c:pivotFmt>
      <c:pivotFmt>
        <c:idx val="3998"/>
      </c:pivotFmt>
      <c:pivotFmt>
        <c:idx val="3999"/>
      </c:pivotFmt>
      <c:pivotFmt>
        <c:idx val="400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pivotFmt>
      <c:pivotFmt>
        <c:idx val="4001"/>
      </c:pivotFmt>
      <c:pivotFmt>
        <c:idx val="4002"/>
      </c:pivotFmt>
      <c:pivotFmt>
        <c:idx val="4003"/>
      </c:pivotFmt>
      <c:pivotFmt>
        <c:idx val="4004"/>
      </c:pivotFmt>
      <c:pivotFmt>
        <c:idx val="4005"/>
      </c:pivotFmt>
      <c:pivotFmt>
        <c:idx val="4006"/>
      </c:pivotFmt>
      <c:pivotFmt>
        <c:idx val="4007"/>
      </c:pivotFmt>
      <c:pivotFmt>
        <c:idx val="4008"/>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pivotFmt>
      <c:pivotFmt>
        <c:idx val="4009"/>
      </c:pivotFmt>
      <c:pivotFmt>
        <c:idx val="4010"/>
      </c:pivotFmt>
      <c:pivotFmt>
        <c:idx val="4011"/>
      </c:pivotFmt>
      <c:pivotFmt>
        <c:idx val="4012"/>
      </c:pivotFmt>
      <c:pivotFmt>
        <c:idx val="4013"/>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pivotFmt>
      <c:pivotFmt>
        <c:idx val="4014"/>
      </c:pivotFmt>
      <c:pivotFmt>
        <c:idx val="4015"/>
      </c:pivotFmt>
      <c:pivotFmt>
        <c:idx val="4016"/>
      </c:pivotFmt>
      <c:pivotFmt>
        <c:idx val="4017"/>
      </c:pivotFmt>
      <c:pivotFmt>
        <c:idx val="4018"/>
      </c:pivotFmt>
      <c:pivotFmt>
        <c:idx val="4019"/>
      </c:pivotFmt>
      <c:pivotFmt>
        <c:idx val="4020"/>
      </c:pivotFmt>
      <c:pivotFmt>
        <c:idx val="4021"/>
      </c:pivotFmt>
      <c:pivotFmt>
        <c:idx val="4022"/>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pivotFmt>
      <c:pivotFmt>
        <c:idx val="4023"/>
      </c:pivotFmt>
      <c:pivotFmt>
        <c:idx val="4024"/>
      </c:pivotFmt>
      <c:pivotFmt>
        <c:idx val="4025"/>
      </c:pivotFmt>
      <c:pivotFmt>
        <c:idx val="4026"/>
      </c:pivotFmt>
      <c:pivotFmt>
        <c:idx val="4027"/>
      </c:pivotFmt>
      <c:pivotFmt>
        <c:idx val="4028"/>
      </c:pivotFmt>
      <c:pivotFmt>
        <c:idx val="4029"/>
      </c:pivotFmt>
      <c:pivotFmt>
        <c:idx val="4030"/>
      </c:pivotFmt>
      <c:pivotFmt>
        <c:idx val="4031"/>
      </c:pivotFmt>
      <c:pivotFmt>
        <c:idx val="4032"/>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pivotFmt>
      <c:pivotFmt>
        <c:idx val="4033"/>
      </c:pivotFmt>
      <c:pivotFmt>
        <c:idx val="4034"/>
      </c:pivotFmt>
      <c:pivotFmt>
        <c:idx val="4035"/>
      </c:pivotFmt>
      <c:pivotFmt>
        <c:idx val="4036"/>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pivotFmt>
      <c:pivotFmt>
        <c:idx val="4037"/>
      </c:pivotFmt>
      <c:pivotFmt>
        <c:idx val="4038"/>
      </c:pivotFmt>
      <c:pivotFmt>
        <c:idx val="4039"/>
      </c:pivotFmt>
      <c:pivotFmt>
        <c:idx val="4040"/>
      </c:pivotFmt>
      <c:pivotFmt>
        <c:idx val="4041"/>
      </c:pivotFmt>
      <c:pivotFmt>
        <c:idx val="4042"/>
      </c:pivotFmt>
      <c:pivotFmt>
        <c:idx val="4043"/>
      </c:pivotFmt>
      <c:pivotFmt>
        <c:idx val="4044"/>
      </c:pivotFmt>
      <c:pivotFmt>
        <c:idx val="4045"/>
      </c:pivotFmt>
      <c:pivotFmt>
        <c:idx val="4046"/>
      </c:pivotFmt>
      <c:pivotFmt>
        <c:idx val="4047"/>
      </c:pivotFmt>
      <c:pivotFmt>
        <c:idx val="4048"/>
      </c:pivotFmt>
      <c:pivotFmt>
        <c:idx val="4049"/>
      </c:pivotFmt>
      <c:pivotFmt>
        <c:idx val="4050"/>
      </c:pivotFmt>
      <c:pivotFmt>
        <c:idx val="4051"/>
      </c:pivotFmt>
      <c:pivotFmt>
        <c:idx val="4052"/>
      </c:pivotFmt>
      <c:pivotFmt>
        <c:idx val="4053"/>
      </c:pivotFmt>
      <c:pivotFmt>
        <c:idx val="4054"/>
      </c:pivotFmt>
      <c:pivotFmt>
        <c:idx val="4055"/>
      </c:pivotFmt>
      <c:pivotFmt>
        <c:idx val="4056"/>
      </c:pivotFmt>
      <c:pivotFmt>
        <c:idx val="4057"/>
      </c:pivotFmt>
      <c:pivotFmt>
        <c:idx val="4058"/>
      </c:pivotFmt>
      <c:pivotFmt>
        <c:idx val="4059"/>
      </c:pivotFmt>
      <c:pivotFmt>
        <c:idx val="4060"/>
      </c:pivotFmt>
      <c:pivotFmt>
        <c:idx val="4061"/>
      </c:pivotFmt>
      <c:pivotFmt>
        <c:idx val="4062"/>
      </c:pivotFmt>
      <c:pivotFmt>
        <c:idx val="4063"/>
      </c:pivotFmt>
      <c:pivotFmt>
        <c:idx val="4064"/>
      </c:pivotFmt>
      <c:pivotFmt>
        <c:idx val="4065"/>
      </c:pivotFmt>
      <c:pivotFmt>
        <c:idx val="4066"/>
      </c:pivotFmt>
      <c:pivotFmt>
        <c:idx val="4067"/>
      </c:pivotFmt>
      <c:pivotFmt>
        <c:idx val="4068"/>
      </c:pivotFmt>
      <c:pivotFmt>
        <c:idx val="4069"/>
      </c:pivotFmt>
      <c:pivotFmt>
        <c:idx val="4070"/>
      </c:pivotFmt>
      <c:pivotFmt>
        <c:idx val="4071"/>
      </c:pivotFmt>
      <c:pivotFmt>
        <c:idx val="4072"/>
      </c:pivotFmt>
      <c:pivotFmt>
        <c:idx val="4073"/>
      </c:pivotFmt>
      <c:pivotFmt>
        <c:idx val="4074"/>
      </c:pivotFmt>
      <c:pivotFmt>
        <c:idx val="4075"/>
      </c:pivotFmt>
      <c:pivotFmt>
        <c:idx val="4076"/>
      </c:pivotFmt>
      <c:pivotFmt>
        <c:idx val="4077"/>
      </c:pivotFmt>
      <c:pivotFmt>
        <c:idx val="4078"/>
      </c:pivotFmt>
      <c:pivotFmt>
        <c:idx val="4079"/>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pivotFmt>
      <c:pivotFmt>
        <c:idx val="4080"/>
      </c:pivotFmt>
      <c:pivotFmt>
        <c:idx val="4081"/>
      </c:pivotFmt>
      <c:pivotFmt>
        <c:idx val="4082"/>
      </c:pivotFmt>
      <c:pivotFmt>
        <c:idx val="4083"/>
      </c:pivotFmt>
      <c:pivotFmt>
        <c:idx val="4084"/>
      </c:pivotFmt>
      <c:pivotFmt>
        <c:idx val="4085"/>
      </c:pivotFmt>
      <c:pivotFmt>
        <c:idx val="4086"/>
      </c:pivotFmt>
      <c:pivotFmt>
        <c:idx val="4087"/>
      </c:pivotFmt>
      <c:pivotFmt>
        <c:idx val="4088"/>
      </c:pivotFmt>
      <c:pivotFmt>
        <c:idx val="4089"/>
      </c:pivotFmt>
      <c:pivotFmt>
        <c:idx val="4090"/>
      </c:pivotFmt>
      <c:pivotFmt>
        <c:idx val="4091"/>
      </c:pivotFmt>
      <c:pivotFmt>
        <c:idx val="4092"/>
      </c:pivotFmt>
      <c:pivotFmt>
        <c:idx val="4093"/>
      </c:pivotFmt>
      <c:pivotFmt>
        <c:idx val="4094"/>
      </c:pivotFmt>
      <c:pivotFmt>
        <c:idx val="4095"/>
      </c:pivotFmt>
      <c:pivotFmt>
        <c:idx val="4096"/>
      </c:pivotFmt>
      <c:pivotFmt>
        <c:idx val="4097"/>
      </c:pivotFmt>
      <c:pivotFmt>
        <c:idx val="4098"/>
      </c:pivotFmt>
      <c:pivotFmt>
        <c:idx val="4099"/>
      </c:pivotFmt>
      <c:pivotFmt>
        <c:idx val="4100"/>
      </c:pivotFmt>
      <c:pivotFmt>
        <c:idx val="4101"/>
      </c:pivotFmt>
      <c:pivotFmt>
        <c:idx val="4102"/>
      </c:pivotFmt>
      <c:pivotFmt>
        <c:idx val="4103"/>
      </c:pivotFmt>
      <c:pivotFmt>
        <c:idx val="4104"/>
      </c:pivotFmt>
      <c:pivotFmt>
        <c:idx val="4105"/>
      </c:pivotFmt>
      <c:pivotFmt>
        <c:idx val="4106"/>
      </c:pivotFmt>
      <c:pivotFmt>
        <c:idx val="4107"/>
      </c:pivotFmt>
      <c:pivotFmt>
        <c:idx val="4108"/>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pivotFmt>
      <c:pivotFmt>
        <c:idx val="4109"/>
      </c:pivotFmt>
      <c:pivotFmt>
        <c:idx val="4110"/>
      </c:pivotFmt>
      <c:pivotFmt>
        <c:idx val="4111"/>
      </c:pivotFmt>
      <c:pivotFmt>
        <c:idx val="4112"/>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pivotFmt>
      <c:pivotFmt>
        <c:idx val="4113"/>
      </c:pivotFmt>
      <c:pivotFmt>
        <c:idx val="4114"/>
      </c:pivotFmt>
      <c:pivotFmt>
        <c:idx val="4115"/>
      </c:pivotFmt>
      <c:pivotFmt>
        <c:idx val="4116"/>
      </c:pivotFmt>
      <c:pivotFmt>
        <c:idx val="4117"/>
      </c:pivotFmt>
      <c:pivotFmt>
        <c:idx val="4118"/>
      </c:pivotFmt>
      <c:pivotFmt>
        <c:idx val="4119"/>
      </c:pivotFmt>
      <c:pivotFmt>
        <c:idx val="4120"/>
      </c:pivotFmt>
      <c:pivotFmt>
        <c:idx val="4121"/>
      </c:pivotFmt>
      <c:pivotFmt>
        <c:idx val="4122"/>
      </c:pivotFmt>
      <c:pivotFmt>
        <c:idx val="4123"/>
      </c:pivotFmt>
      <c:pivotFmt>
        <c:idx val="4124"/>
      </c:pivotFmt>
      <c:pivotFmt>
        <c:idx val="4125"/>
      </c:pivotFmt>
      <c:pivotFmt>
        <c:idx val="4126"/>
      </c:pivotFmt>
      <c:pivotFmt>
        <c:idx val="4127"/>
      </c:pivotFmt>
      <c:pivotFmt>
        <c:idx val="4128"/>
      </c:pivotFmt>
      <c:pivotFmt>
        <c:idx val="4129"/>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pivotFmt>
      <c:pivotFmt>
        <c:idx val="4130"/>
      </c:pivotFmt>
      <c:pivotFmt>
        <c:idx val="4131"/>
      </c:pivotFmt>
      <c:pivotFmt>
        <c:idx val="4132"/>
      </c:pivotFmt>
      <c:pivotFmt>
        <c:idx val="4133"/>
      </c:pivotFmt>
      <c:pivotFmt>
        <c:idx val="4134"/>
      </c:pivotFmt>
      <c:pivotFmt>
        <c:idx val="4135"/>
      </c:pivotFmt>
      <c:pivotFmt>
        <c:idx val="4136"/>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pivotFmt>
      <c:pivotFmt>
        <c:idx val="4137"/>
      </c:pivotFmt>
      <c:pivotFmt>
        <c:idx val="4138"/>
      </c:pivotFmt>
      <c:pivotFmt>
        <c:idx val="4139"/>
      </c:pivotFmt>
      <c:pivotFmt>
        <c:idx val="4140"/>
      </c:pivotFmt>
      <c:pivotFmt>
        <c:idx val="4141"/>
      </c:pivotFmt>
      <c:pivotFmt>
        <c:idx val="4142"/>
      </c:pivotFmt>
      <c:pivotFmt>
        <c:idx val="4143"/>
      </c:pivotFmt>
      <c:pivotFmt>
        <c:idx val="4144"/>
      </c:pivotFmt>
      <c:pivotFmt>
        <c:idx val="4145"/>
      </c:pivotFmt>
      <c:pivotFmt>
        <c:idx val="4146"/>
      </c:pivotFmt>
      <c:pivotFmt>
        <c:idx val="4147"/>
      </c:pivotFmt>
      <c:pivotFmt>
        <c:idx val="4148"/>
      </c:pivotFmt>
      <c:pivotFmt>
        <c:idx val="4149"/>
      </c:pivotFmt>
      <c:pivotFmt>
        <c:idx val="4150"/>
      </c:pivotFmt>
      <c:pivotFmt>
        <c:idx val="4151"/>
      </c:pivotFmt>
      <c:pivotFmt>
        <c:idx val="4152"/>
      </c:pivotFmt>
      <c:pivotFmt>
        <c:idx val="4153"/>
      </c:pivotFmt>
      <c:pivotFmt>
        <c:idx val="4154"/>
      </c:pivotFmt>
      <c:pivotFmt>
        <c:idx val="4155"/>
      </c:pivotFmt>
      <c:pivotFmt>
        <c:idx val="4156"/>
      </c:pivotFmt>
      <c:pivotFmt>
        <c:idx val="4157"/>
      </c:pivotFmt>
      <c:pivotFmt>
        <c:idx val="4158"/>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pivotFmt>
      <c:pivotFmt>
        <c:idx val="4159"/>
      </c:pivotFmt>
      <c:pivotFmt>
        <c:idx val="4160"/>
      </c:pivotFmt>
      <c:pivotFmt>
        <c:idx val="4161"/>
      </c:pivotFmt>
      <c:pivotFmt>
        <c:idx val="4162"/>
      </c:pivotFmt>
      <c:pivotFmt>
        <c:idx val="4163"/>
      </c:pivotFmt>
      <c:pivotFmt>
        <c:idx val="4164"/>
      </c:pivotFmt>
      <c:pivotFmt>
        <c:idx val="4165"/>
      </c:pivotFmt>
      <c:pivotFmt>
        <c:idx val="4166"/>
      </c:pivotFmt>
      <c:pivotFmt>
        <c:idx val="4167"/>
      </c:pivotFmt>
      <c:pivotFmt>
        <c:idx val="4168"/>
      </c:pivotFmt>
      <c:pivotFmt>
        <c:idx val="4169"/>
      </c:pivotFmt>
      <c:pivotFmt>
        <c:idx val="4170"/>
      </c:pivotFmt>
      <c:pivotFmt>
        <c:idx val="4171"/>
      </c:pivotFmt>
      <c:pivotFmt>
        <c:idx val="4172"/>
      </c:pivotFmt>
      <c:pivotFmt>
        <c:idx val="4173"/>
      </c:pivotFmt>
      <c:pivotFmt>
        <c:idx val="4174"/>
      </c:pivotFmt>
      <c:pivotFmt>
        <c:idx val="4175"/>
      </c:pivotFmt>
      <c:pivotFmt>
        <c:idx val="4176"/>
      </c:pivotFmt>
      <c:pivotFmt>
        <c:idx val="4177"/>
      </c:pivotFmt>
      <c:pivotFmt>
        <c:idx val="4178"/>
      </c:pivotFmt>
      <c:pivotFmt>
        <c:idx val="4179"/>
      </c:pivotFmt>
      <c:pivotFmt>
        <c:idx val="4180"/>
      </c:pivotFmt>
      <c:pivotFmt>
        <c:idx val="4181"/>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pivotFmt>
      <c:pivotFmt>
        <c:idx val="4182"/>
      </c:pivotFmt>
      <c:pivotFmt>
        <c:idx val="4183"/>
      </c:pivotFmt>
      <c:pivotFmt>
        <c:idx val="4184"/>
      </c:pivotFmt>
      <c:pivotFmt>
        <c:idx val="4185"/>
      </c:pivotFmt>
      <c:pivotFmt>
        <c:idx val="4186"/>
      </c:pivotFmt>
      <c:pivotFmt>
        <c:idx val="4187"/>
      </c:pivotFmt>
      <c:pivotFmt>
        <c:idx val="4188"/>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pivotFmt>
      <c:pivotFmt>
        <c:idx val="4189"/>
      </c:pivotFmt>
      <c:pivotFmt>
        <c:idx val="4190"/>
      </c:pivotFmt>
      <c:pivotFmt>
        <c:idx val="4191"/>
      </c:pivotFmt>
      <c:pivotFmt>
        <c:idx val="4192"/>
      </c:pivotFmt>
      <c:pivotFmt>
        <c:idx val="4193"/>
      </c:pivotFmt>
      <c:pivotFmt>
        <c:idx val="4194"/>
      </c:pivotFmt>
      <c:pivotFmt>
        <c:idx val="4195"/>
      </c:pivotFmt>
      <c:pivotFmt>
        <c:idx val="4196"/>
      </c:pivotFmt>
      <c:pivotFmt>
        <c:idx val="4197"/>
      </c:pivotFmt>
      <c:pivotFmt>
        <c:idx val="4198"/>
      </c:pivotFmt>
      <c:pivotFmt>
        <c:idx val="4199"/>
      </c:pivotFmt>
      <c:pivotFmt>
        <c:idx val="4200"/>
      </c:pivotFmt>
      <c:pivotFmt>
        <c:idx val="4201"/>
      </c:pivotFmt>
      <c:pivotFmt>
        <c:idx val="4202"/>
      </c:pivotFmt>
      <c:pivotFmt>
        <c:idx val="4203"/>
      </c:pivotFmt>
      <c:pivotFmt>
        <c:idx val="4204"/>
      </c:pivotFmt>
      <c:pivotFmt>
        <c:idx val="4205"/>
      </c:pivotFmt>
      <c:pivotFmt>
        <c:idx val="4206"/>
      </c:pivotFmt>
      <c:pivotFmt>
        <c:idx val="4207"/>
      </c:pivotFmt>
      <c:pivotFmt>
        <c:idx val="4208"/>
      </c:pivotFmt>
      <c:pivotFmt>
        <c:idx val="4209"/>
      </c:pivotFmt>
      <c:pivotFmt>
        <c:idx val="4210"/>
      </c:pivotFmt>
      <c:pivotFmt>
        <c:idx val="4211"/>
      </c:pivotFmt>
      <c:pivotFmt>
        <c:idx val="4212"/>
      </c:pivotFmt>
      <c:pivotFmt>
        <c:idx val="4213"/>
      </c:pivotFmt>
      <c:pivotFmt>
        <c:idx val="4214"/>
      </c:pivotFmt>
      <c:pivotFmt>
        <c:idx val="4215"/>
      </c:pivotFmt>
      <c:pivotFmt>
        <c:idx val="4216"/>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pivotFmt>
      <c:pivotFmt>
        <c:idx val="4217"/>
      </c:pivotFmt>
      <c:pivotFmt>
        <c:idx val="4218"/>
      </c:pivotFmt>
      <c:pivotFmt>
        <c:idx val="4219"/>
      </c:pivotFmt>
      <c:pivotFmt>
        <c:idx val="4220"/>
      </c:pivotFmt>
      <c:pivotFmt>
        <c:idx val="4221"/>
      </c:pivotFmt>
      <c:pivotFmt>
        <c:idx val="4222"/>
      </c:pivotFmt>
      <c:pivotFmt>
        <c:idx val="4223"/>
      </c:pivotFmt>
      <c:pivotFmt>
        <c:idx val="4224"/>
      </c:pivotFmt>
      <c:pivotFmt>
        <c:idx val="4225"/>
      </c:pivotFmt>
      <c:pivotFmt>
        <c:idx val="4226"/>
      </c:pivotFmt>
      <c:pivotFmt>
        <c:idx val="4227"/>
      </c:pivotFmt>
      <c:pivotFmt>
        <c:idx val="4228"/>
      </c:pivotFmt>
      <c:pivotFmt>
        <c:idx val="4229"/>
      </c:pivotFmt>
      <c:pivotFmt>
        <c:idx val="4230"/>
      </c:pivotFmt>
      <c:pivotFmt>
        <c:idx val="4231"/>
      </c:pivotFmt>
      <c:pivotFmt>
        <c:idx val="4232"/>
      </c:pivotFmt>
      <c:pivotFmt>
        <c:idx val="4233"/>
      </c:pivotFmt>
      <c:pivotFmt>
        <c:idx val="4234"/>
      </c:pivotFmt>
      <c:pivotFmt>
        <c:idx val="4235"/>
      </c:pivotFmt>
      <c:pivotFmt>
        <c:idx val="4236"/>
      </c:pivotFmt>
      <c:pivotFmt>
        <c:idx val="4237"/>
      </c:pivotFmt>
      <c:pivotFmt>
        <c:idx val="4238"/>
      </c:pivotFmt>
      <c:pivotFmt>
        <c:idx val="4239"/>
      </c:pivotFmt>
      <c:pivotFmt>
        <c:idx val="4240"/>
      </c:pivotFmt>
      <c:pivotFmt>
        <c:idx val="4241"/>
      </c:pivotFmt>
      <c:pivotFmt>
        <c:idx val="4242"/>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pivotFmt>
      <c:pivotFmt>
        <c:idx val="4243"/>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pivotFmt>
      <c:pivotFmt>
        <c:idx val="4244"/>
      </c:pivotFmt>
      <c:pivotFmt>
        <c:idx val="4245"/>
      </c:pivotFmt>
      <c:pivotFmt>
        <c:idx val="4246"/>
      </c:pivotFmt>
      <c:pivotFmt>
        <c:idx val="4247"/>
      </c:pivotFmt>
      <c:pivotFmt>
        <c:idx val="4248"/>
      </c:pivotFmt>
      <c:pivotFmt>
        <c:idx val="4249"/>
      </c:pivotFmt>
      <c:pivotFmt>
        <c:idx val="4250"/>
      </c:pivotFmt>
      <c:pivotFmt>
        <c:idx val="4251"/>
      </c:pivotFmt>
      <c:pivotFmt>
        <c:idx val="4252"/>
      </c:pivotFmt>
      <c:pivotFmt>
        <c:idx val="4253"/>
      </c:pivotFmt>
      <c:pivotFmt>
        <c:idx val="4254"/>
      </c:pivotFmt>
      <c:pivotFmt>
        <c:idx val="4255"/>
      </c:pivotFmt>
      <c:pivotFmt>
        <c:idx val="4256"/>
      </c:pivotFmt>
      <c:pivotFmt>
        <c:idx val="4257"/>
      </c:pivotFmt>
      <c:pivotFmt>
        <c:idx val="4258"/>
      </c:pivotFmt>
      <c:pivotFmt>
        <c:idx val="4259"/>
      </c:pivotFmt>
      <c:pivotFmt>
        <c:idx val="4260"/>
      </c:pivotFmt>
      <c:pivotFmt>
        <c:idx val="4261"/>
      </c:pivotFmt>
      <c:pivotFmt>
        <c:idx val="4262"/>
      </c:pivotFmt>
      <c:pivotFmt>
        <c:idx val="4263"/>
      </c:pivotFmt>
      <c:pivotFmt>
        <c:idx val="4264"/>
      </c:pivotFmt>
      <c:pivotFmt>
        <c:idx val="4265"/>
      </c:pivotFmt>
      <c:pivotFmt>
        <c:idx val="4266"/>
      </c:pivotFmt>
      <c:pivotFmt>
        <c:idx val="4267"/>
      </c:pivotFmt>
      <c:pivotFmt>
        <c:idx val="4268"/>
      </c:pivotFmt>
      <c:pivotFmt>
        <c:idx val="4269"/>
      </c:pivotFmt>
      <c:pivotFmt>
        <c:idx val="4270"/>
      </c:pivotFmt>
      <c:pivotFmt>
        <c:idx val="4271"/>
      </c:pivotFmt>
      <c:pivotFmt>
        <c:idx val="4272"/>
      </c:pivotFmt>
      <c:pivotFmt>
        <c:idx val="4273"/>
      </c:pivotFmt>
      <c:pivotFmt>
        <c:idx val="4274"/>
      </c:pivotFmt>
      <c:pivotFmt>
        <c:idx val="4275"/>
      </c:pivotFmt>
      <c:pivotFmt>
        <c:idx val="4276"/>
      </c:pivotFmt>
      <c:pivotFmt>
        <c:idx val="4277"/>
      </c:pivotFmt>
      <c:pivotFmt>
        <c:idx val="4278"/>
      </c:pivotFmt>
      <c:pivotFmt>
        <c:idx val="4279"/>
      </c:pivotFmt>
      <c:pivotFmt>
        <c:idx val="4280"/>
      </c:pivotFmt>
      <c:pivotFmt>
        <c:idx val="4281"/>
      </c:pivotFmt>
      <c:pivotFmt>
        <c:idx val="4282"/>
      </c:pivotFmt>
      <c:pivotFmt>
        <c:idx val="4283"/>
      </c:pivotFmt>
      <c:pivotFmt>
        <c:idx val="4284"/>
      </c:pivotFmt>
      <c:pivotFmt>
        <c:idx val="4285"/>
      </c:pivotFmt>
      <c:pivotFmt>
        <c:idx val="4286"/>
      </c:pivotFmt>
      <c:pivotFmt>
        <c:idx val="4287"/>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pivotFmt>
      <c:pivotFmt>
        <c:idx val="4288"/>
      </c:pivotFmt>
      <c:pivotFmt>
        <c:idx val="4289"/>
      </c:pivotFmt>
      <c:pivotFmt>
        <c:idx val="4290"/>
      </c:pivotFmt>
      <c:pivotFmt>
        <c:idx val="4291"/>
      </c:pivotFmt>
      <c:pivotFmt>
        <c:idx val="4292"/>
      </c:pivotFmt>
      <c:pivotFmt>
        <c:idx val="4293"/>
      </c:pivotFmt>
      <c:pivotFmt>
        <c:idx val="4294"/>
      </c:pivotFmt>
      <c:pivotFmt>
        <c:idx val="4295"/>
      </c:pivotFmt>
      <c:pivotFmt>
        <c:idx val="4296"/>
      </c:pivotFmt>
      <c:pivotFmt>
        <c:idx val="4297"/>
      </c:pivotFmt>
      <c:pivotFmt>
        <c:idx val="4298"/>
      </c:pivotFmt>
      <c:pivotFmt>
        <c:idx val="4299"/>
      </c:pivotFmt>
      <c:pivotFmt>
        <c:idx val="4300"/>
      </c:pivotFmt>
      <c:pivotFmt>
        <c:idx val="4301"/>
      </c:pivotFmt>
      <c:pivotFmt>
        <c:idx val="4302"/>
      </c:pivotFmt>
      <c:pivotFmt>
        <c:idx val="4303"/>
      </c:pivotFmt>
      <c:pivotFmt>
        <c:idx val="4304"/>
      </c:pivotFmt>
      <c:pivotFmt>
        <c:idx val="4305"/>
      </c:pivotFmt>
      <c:pivotFmt>
        <c:idx val="4306"/>
      </c:pivotFmt>
      <c:pivotFmt>
        <c:idx val="4307"/>
      </c:pivotFmt>
      <c:pivotFmt>
        <c:idx val="4308"/>
      </c:pivotFmt>
      <c:pivotFmt>
        <c:idx val="4309"/>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pivotFmt>
      <c:pivotFmt>
        <c:idx val="4310"/>
      </c:pivotFmt>
      <c:pivotFmt>
        <c:idx val="4311"/>
      </c:pivotFmt>
      <c:pivotFmt>
        <c:idx val="4312"/>
      </c:pivotFmt>
      <c:pivotFmt>
        <c:idx val="4313"/>
      </c:pivotFmt>
      <c:pivotFmt>
        <c:idx val="4314"/>
      </c:pivotFmt>
      <c:pivotFmt>
        <c:idx val="4315"/>
      </c:pivotFmt>
      <c:pivotFmt>
        <c:idx val="4316"/>
      </c:pivotFmt>
      <c:pivotFmt>
        <c:idx val="4317"/>
      </c:pivotFmt>
      <c:pivotFmt>
        <c:idx val="4318"/>
      </c:pivotFmt>
      <c:pivotFmt>
        <c:idx val="4319"/>
      </c:pivotFmt>
      <c:pivotFmt>
        <c:idx val="432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pivotFmt>
      <c:pivotFmt>
        <c:idx val="4321"/>
      </c:pivotFmt>
      <c:pivotFmt>
        <c:idx val="4322"/>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pivotFmt>
      <c:pivotFmt>
        <c:idx val="4323"/>
      </c:pivotFmt>
      <c:pivotFmt>
        <c:idx val="4324"/>
      </c:pivotFmt>
      <c:pivotFmt>
        <c:idx val="4325"/>
      </c:pivotFmt>
      <c:pivotFmt>
        <c:idx val="4326"/>
      </c:pivotFmt>
      <c:pivotFmt>
        <c:idx val="4327"/>
      </c:pivotFmt>
      <c:pivotFmt>
        <c:idx val="4328"/>
      </c:pivotFmt>
      <c:pivotFmt>
        <c:idx val="4329"/>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pivotFmt>
      <c:pivotFmt>
        <c:idx val="4330"/>
      </c:pivotFmt>
      <c:pivotFmt>
        <c:idx val="4331"/>
      </c:pivotFmt>
      <c:pivotFmt>
        <c:idx val="4332"/>
      </c:pivotFmt>
      <c:pivotFmt>
        <c:idx val="4333"/>
      </c:pivotFmt>
      <c:pivotFmt>
        <c:idx val="4334"/>
      </c:pivotFmt>
      <c:pivotFmt>
        <c:idx val="4335"/>
      </c:pivotFmt>
      <c:pivotFmt>
        <c:idx val="4336"/>
      </c:pivotFmt>
      <c:pivotFmt>
        <c:idx val="4337"/>
      </c:pivotFmt>
      <c:pivotFmt>
        <c:idx val="4338"/>
      </c:pivotFmt>
      <c:pivotFmt>
        <c:idx val="4339"/>
      </c:pivotFmt>
      <c:pivotFmt>
        <c:idx val="4340"/>
      </c:pivotFmt>
      <c:pivotFmt>
        <c:idx val="4341"/>
      </c:pivotFmt>
      <c:pivotFmt>
        <c:idx val="4342"/>
      </c:pivotFmt>
      <c:pivotFmt>
        <c:idx val="4343"/>
      </c:pivotFmt>
      <c:pivotFmt>
        <c:idx val="4344"/>
      </c:pivotFmt>
      <c:pivotFmt>
        <c:idx val="4345"/>
      </c:pivotFmt>
      <c:pivotFmt>
        <c:idx val="4346"/>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pivotFmt>
      <c:pivotFmt>
        <c:idx val="4347"/>
      </c:pivotFmt>
      <c:pivotFmt>
        <c:idx val="4348"/>
      </c:pivotFmt>
      <c:pivotFmt>
        <c:idx val="4349"/>
      </c:pivotFmt>
      <c:pivotFmt>
        <c:idx val="4350"/>
      </c:pivotFmt>
      <c:pivotFmt>
        <c:idx val="4351"/>
      </c:pivotFmt>
      <c:pivotFmt>
        <c:idx val="4352"/>
      </c:pivotFmt>
      <c:pivotFmt>
        <c:idx val="4353"/>
      </c:pivotFmt>
      <c:pivotFmt>
        <c:idx val="4354"/>
      </c:pivotFmt>
      <c:pivotFmt>
        <c:idx val="4355"/>
      </c:pivotFmt>
      <c:pivotFmt>
        <c:idx val="4356"/>
      </c:pivotFmt>
      <c:pivotFmt>
        <c:idx val="4357"/>
      </c:pivotFmt>
      <c:pivotFmt>
        <c:idx val="4358"/>
      </c:pivotFmt>
      <c:pivotFmt>
        <c:idx val="4359"/>
      </c:pivotFmt>
      <c:pivotFmt>
        <c:idx val="4360"/>
      </c:pivotFmt>
      <c:pivotFmt>
        <c:idx val="4361"/>
      </c:pivotFmt>
      <c:pivotFmt>
        <c:idx val="4362"/>
      </c:pivotFmt>
      <c:pivotFmt>
        <c:idx val="4363"/>
      </c:pivotFmt>
      <c:pivotFmt>
        <c:idx val="4364"/>
      </c:pivotFmt>
      <c:pivotFmt>
        <c:idx val="4365"/>
      </c:pivotFmt>
      <c:pivotFmt>
        <c:idx val="4366"/>
      </c:pivotFmt>
      <c:pivotFmt>
        <c:idx val="4367"/>
      </c:pivotFmt>
      <c:pivotFmt>
        <c:idx val="4368"/>
      </c:pivotFmt>
      <c:pivotFmt>
        <c:idx val="4369"/>
      </c:pivotFmt>
      <c:pivotFmt>
        <c:idx val="437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pivotFmt>
      <c:pivotFmt>
        <c:idx val="4371"/>
      </c:pivotFmt>
      <c:pivotFmt>
        <c:idx val="4372"/>
      </c:pivotFmt>
      <c:pivotFmt>
        <c:idx val="4373"/>
      </c:pivotFmt>
      <c:pivotFmt>
        <c:idx val="4374"/>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pivotFmt>
      <c:pivotFmt>
        <c:idx val="4375"/>
      </c:pivotFmt>
      <c:pivotFmt>
        <c:idx val="4376"/>
      </c:pivotFmt>
      <c:pivotFmt>
        <c:idx val="4377"/>
      </c:pivotFmt>
      <c:pivotFmt>
        <c:idx val="4378"/>
      </c:pivotFmt>
      <c:pivotFmt>
        <c:idx val="4379"/>
      </c:pivotFmt>
      <c:pivotFmt>
        <c:idx val="4380"/>
      </c:pivotFmt>
      <c:pivotFmt>
        <c:idx val="4381"/>
      </c:pivotFmt>
      <c:pivotFmt>
        <c:idx val="4382"/>
      </c:pivotFmt>
      <c:pivotFmt>
        <c:idx val="4383"/>
      </c:pivotFmt>
      <c:pivotFmt>
        <c:idx val="4384"/>
      </c:pivotFmt>
      <c:pivotFmt>
        <c:idx val="4385"/>
      </c:pivotFmt>
      <c:pivotFmt>
        <c:idx val="4386"/>
      </c:pivotFmt>
      <c:pivotFmt>
        <c:idx val="4387"/>
      </c:pivotFmt>
      <c:pivotFmt>
        <c:idx val="4388"/>
      </c:pivotFmt>
      <c:pivotFmt>
        <c:idx val="4389"/>
      </c:pivotFmt>
      <c:pivotFmt>
        <c:idx val="4390"/>
      </c:pivotFmt>
      <c:pivotFmt>
        <c:idx val="4391"/>
      </c:pivotFmt>
      <c:pivotFmt>
        <c:idx val="4392"/>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pivotFmt>
      <c:pivotFmt>
        <c:idx val="4393"/>
      </c:pivotFmt>
      <c:pivotFmt>
        <c:idx val="4394"/>
      </c:pivotFmt>
      <c:pivotFmt>
        <c:idx val="4395"/>
      </c:pivotFmt>
      <c:pivotFmt>
        <c:idx val="4396"/>
      </c:pivotFmt>
      <c:pivotFmt>
        <c:idx val="4397"/>
      </c:pivotFmt>
      <c:pivotFmt>
        <c:idx val="4398"/>
      </c:pivotFmt>
      <c:pivotFmt>
        <c:idx val="4399"/>
      </c:pivotFmt>
      <c:pivotFmt>
        <c:idx val="4400"/>
      </c:pivotFmt>
      <c:pivotFmt>
        <c:idx val="4401"/>
      </c:pivotFmt>
      <c:pivotFmt>
        <c:idx val="4402"/>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pivotFmt>
      <c:pivotFmt>
        <c:idx val="4403"/>
      </c:pivotFmt>
      <c:pivotFmt>
        <c:idx val="4404"/>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pivotFmt>
      <c:pivotFmt>
        <c:idx val="4405"/>
      </c:pivotFmt>
      <c:pivotFmt>
        <c:idx val="4406"/>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pivotFmt>
      <c:pivotFmt>
        <c:idx val="4407"/>
      </c:pivotFmt>
      <c:pivotFmt>
        <c:idx val="4408"/>
      </c:pivotFmt>
      <c:pivotFmt>
        <c:idx val="4409"/>
      </c:pivotFmt>
      <c:pivotFmt>
        <c:idx val="4410"/>
      </c:pivotFmt>
      <c:pivotFmt>
        <c:idx val="4411"/>
      </c:pivotFmt>
      <c:pivotFmt>
        <c:idx val="4412"/>
      </c:pivotFmt>
      <c:pivotFmt>
        <c:idx val="4413"/>
      </c:pivotFmt>
      <c:pivotFmt>
        <c:idx val="4414"/>
      </c:pivotFmt>
      <c:pivotFmt>
        <c:idx val="4415"/>
      </c:pivotFmt>
      <c:pivotFmt>
        <c:idx val="4416"/>
      </c:pivotFmt>
      <c:pivotFmt>
        <c:idx val="4417"/>
      </c:pivotFmt>
      <c:pivotFmt>
        <c:idx val="4418"/>
      </c:pivotFmt>
      <c:pivotFmt>
        <c:idx val="4419"/>
      </c:pivotFmt>
      <c:pivotFmt>
        <c:idx val="4420"/>
      </c:pivotFmt>
      <c:pivotFmt>
        <c:idx val="4421"/>
      </c:pivotFmt>
      <c:pivotFmt>
        <c:idx val="4422"/>
      </c:pivotFmt>
      <c:pivotFmt>
        <c:idx val="4423"/>
      </c:pivotFmt>
      <c:pivotFmt>
        <c:idx val="4424"/>
      </c:pivotFmt>
      <c:pivotFmt>
        <c:idx val="4425"/>
      </c:pivotFmt>
    </c:pivotFmts>
    <c:plotArea>
      <c:layout/>
      <c:doughnutChart>
        <c:varyColors val="1"/>
        <c:ser>
          <c:idx val="0"/>
          <c:order val="0"/>
          <c:tx>
            <c:strRef>
              <c:f>PivotTables!$B$47</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29B-43E0-9F70-D639BDBA62D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29B-43E0-9F70-D639BDBA62D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A29B-43E0-9F70-D639BDBA62D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A29B-43E0-9F70-D639BDBA62D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A29B-43E0-9F70-D639BDBA62D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A29B-43E0-9F70-D639BDBA62D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A29B-43E0-9F70-D639BDBA62D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A29B-43E0-9F70-D639BDBA62D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A29B-43E0-9F70-D639BDBA62D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A29B-43E0-9F70-D639BDBA62D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A29B-43E0-9F70-D639BDBA62D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A29B-43E0-9F70-D639BDBA62D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A29B-43E0-9F70-D639BDBA62D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A29B-43E0-9F70-D639BDBA62D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A29B-43E0-9F70-D639BDBA62D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A29B-43E0-9F70-D639BDBA62D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A29B-43E0-9F70-D639BDBA62D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A29B-43E0-9F70-D639BDBA62D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A29B-43E0-9F70-D639BDBA62D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A29B-43E0-9F70-D639BDBA62D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A29B-43E0-9F70-D639BDBA62D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A29B-43E0-9F70-D639BDBA62D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A29B-43E0-9F70-D639BDBA62D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A29B-43E0-9F70-D639BDBA62D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A29B-43E0-9F70-D639BDBA62D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A29B-43E0-9F70-D639BDBA62D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A29B-43E0-9F70-D639BDBA62D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A29B-43E0-9F70-D639BDBA62D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A29B-43E0-9F70-D639BDBA62D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A29B-43E0-9F70-D639BDBA62D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A29B-43E0-9F70-D639BDBA62D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A29B-43E0-9F70-D639BDBA62D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A29B-43E0-9F70-D639BDBA62D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A29B-43E0-9F70-D639BDBA62D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A29B-43E0-9F70-D639BDBA62D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A29B-43E0-9F70-D639BDBA62D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A29B-43E0-9F70-D639BDBA62D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4B-A29B-43E0-9F70-D639BDBA62D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4D-A29B-43E0-9F70-D639BDBA62D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4F-A29B-43E0-9F70-D639BDBA62D6}"/>
              </c:ext>
            </c:extLst>
          </c:dPt>
          <c:dPt>
            <c:idx val="40"/>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051-A29B-43E0-9F70-D639BDBA62D6}"/>
              </c:ext>
            </c:extLst>
          </c:dPt>
          <c:dPt>
            <c:idx val="41"/>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053-A29B-43E0-9F70-D639BDBA62D6}"/>
              </c:ext>
            </c:extLst>
          </c:dPt>
          <c:dPt>
            <c:idx val="42"/>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055-A29B-43E0-9F70-D639BDBA62D6}"/>
              </c:ext>
            </c:extLst>
          </c:dPt>
          <c:dPt>
            <c:idx val="43"/>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057-A29B-43E0-9F70-D639BDBA62D6}"/>
              </c:ext>
            </c:extLst>
          </c:dPt>
          <c:dPt>
            <c:idx val="44"/>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059-A29B-43E0-9F70-D639BDBA62D6}"/>
              </c:ext>
            </c:extLst>
          </c:dPt>
          <c:dPt>
            <c:idx val="45"/>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05B-A29B-43E0-9F70-D639BDBA62D6}"/>
              </c:ext>
            </c:extLst>
          </c:dPt>
          <c:dPt>
            <c:idx val="46"/>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05D-A29B-43E0-9F70-D639BDBA62D6}"/>
              </c:ext>
            </c:extLst>
          </c:dPt>
          <c:dPt>
            <c:idx val="47"/>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05F-A29B-43E0-9F70-D639BDBA62D6}"/>
              </c:ext>
            </c:extLst>
          </c:dPt>
          <c:dPt>
            <c:idx val="48"/>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061-A29B-43E0-9F70-D639BDBA62D6}"/>
              </c:ext>
            </c:extLst>
          </c:dPt>
          <c:dPt>
            <c:idx val="49"/>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063-A29B-43E0-9F70-D639BDBA62D6}"/>
              </c:ext>
            </c:extLst>
          </c:dPt>
          <c:dPt>
            <c:idx val="50"/>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065-A29B-43E0-9F70-D639BDBA62D6}"/>
              </c:ext>
            </c:extLst>
          </c:dPt>
          <c:dPt>
            <c:idx val="51"/>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067-A29B-43E0-9F70-D639BDBA62D6}"/>
              </c:ext>
            </c:extLst>
          </c:dPt>
          <c:dPt>
            <c:idx val="52"/>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069-A29B-43E0-9F70-D639BDBA62D6}"/>
              </c:ext>
            </c:extLst>
          </c:dPt>
          <c:dPt>
            <c:idx val="53"/>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06B-A29B-43E0-9F70-D639BDBA62D6}"/>
              </c:ext>
            </c:extLst>
          </c:dPt>
          <c:dPt>
            <c:idx val="54"/>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6D-A29B-43E0-9F70-D639BDBA62D6}"/>
              </c:ext>
            </c:extLst>
          </c:dPt>
          <c:dPt>
            <c:idx val="55"/>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6F-A29B-43E0-9F70-D639BDBA62D6}"/>
              </c:ext>
            </c:extLst>
          </c:dPt>
          <c:dPt>
            <c:idx val="56"/>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71-A29B-43E0-9F70-D639BDBA62D6}"/>
              </c:ext>
            </c:extLst>
          </c:dPt>
          <c:dPt>
            <c:idx val="57"/>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73-A29B-43E0-9F70-D639BDBA62D6}"/>
              </c:ext>
            </c:extLst>
          </c:dPt>
          <c:dPt>
            <c:idx val="58"/>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75-A29B-43E0-9F70-D639BDBA62D6}"/>
              </c:ext>
            </c:extLst>
          </c:dPt>
          <c:dPt>
            <c:idx val="59"/>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77-A29B-43E0-9F70-D639BDBA62D6}"/>
              </c:ext>
            </c:extLst>
          </c:dPt>
          <c:dPt>
            <c:idx val="60"/>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79-A29B-43E0-9F70-D639BDBA62D6}"/>
              </c:ext>
            </c:extLst>
          </c:dPt>
          <c:dPt>
            <c:idx val="61"/>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7B-A29B-43E0-9F70-D639BDBA62D6}"/>
              </c:ext>
            </c:extLst>
          </c:dPt>
          <c:dPt>
            <c:idx val="62"/>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7D-A29B-43E0-9F70-D639BDBA62D6}"/>
              </c:ext>
            </c:extLst>
          </c:dPt>
          <c:dPt>
            <c:idx val="63"/>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7F-A29B-43E0-9F70-D639BDBA62D6}"/>
              </c:ext>
            </c:extLst>
          </c:dPt>
          <c:dPt>
            <c:idx val="6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81-A29B-43E0-9F70-D639BDBA62D6}"/>
              </c:ext>
            </c:extLst>
          </c:dPt>
          <c:dPt>
            <c:idx val="65"/>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83-A29B-43E0-9F70-D639BDBA62D6}"/>
              </c:ext>
            </c:extLst>
          </c:dPt>
          <c:dPt>
            <c:idx val="66"/>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85-A29B-43E0-9F70-D639BDBA62D6}"/>
              </c:ext>
            </c:extLst>
          </c:dPt>
          <c:dPt>
            <c:idx val="67"/>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87-A29B-43E0-9F70-D639BDBA62D6}"/>
              </c:ext>
            </c:extLst>
          </c:dPt>
          <c:dPt>
            <c:idx val="68"/>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89-A29B-43E0-9F70-D639BDBA62D6}"/>
              </c:ext>
            </c:extLst>
          </c:dPt>
          <c:dPt>
            <c:idx val="69"/>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8B-A29B-43E0-9F70-D639BDBA62D6}"/>
              </c:ext>
            </c:extLst>
          </c:dPt>
          <c:dPt>
            <c:idx val="70"/>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8D-A29B-43E0-9F70-D639BDBA62D6}"/>
              </c:ext>
            </c:extLst>
          </c:dPt>
          <c:dPt>
            <c:idx val="71"/>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8F-A29B-43E0-9F70-D639BDBA62D6}"/>
              </c:ext>
            </c:extLst>
          </c:dPt>
          <c:dPt>
            <c:idx val="72"/>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91-A29B-43E0-9F70-D639BDBA62D6}"/>
              </c:ext>
            </c:extLst>
          </c:dPt>
          <c:dPt>
            <c:idx val="73"/>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93-A29B-43E0-9F70-D639BDBA62D6}"/>
              </c:ext>
            </c:extLst>
          </c:dPt>
          <c:dPt>
            <c:idx val="74"/>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95-A29B-43E0-9F70-D639BDBA62D6}"/>
              </c:ext>
            </c:extLst>
          </c:dPt>
          <c:dPt>
            <c:idx val="75"/>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97-A29B-43E0-9F70-D639BDBA62D6}"/>
              </c:ext>
            </c:extLst>
          </c:dPt>
          <c:dPt>
            <c:idx val="76"/>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99-A29B-43E0-9F70-D639BDBA62D6}"/>
              </c:ext>
            </c:extLst>
          </c:dPt>
          <c:dPt>
            <c:idx val="77"/>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9B-A29B-43E0-9F70-D639BDBA62D6}"/>
              </c:ext>
            </c:extLst>
          </c:dPt>
          <c:dPt>
            <c:idx val="78"/>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9D-A29B-43E0-9F70-D639BDBA62D6}"/>
              </c:ext>
            </c:extLst>
          </c:dPt>
          <c:dPt>
            <c:idx val="79"/>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9F-A29B-43E0-9F70-D639BDBA62D6}"/>
              </c:ext>
            </c:extLst>
          </c:dPt>
          <c:dPt>
            <c:idx val="80"/>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A1-A29B-43E0-9F70-D639BDBA62D6}"/>
              </c:ext>
            </c:extLst>
          </c:dPt>
          <c:dPt>
            <c:idx val="81"/>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A3-A29B-43E0-9F70-D639BDBA62D6}"/>
              </c:ext>
            </c:extLst>
          </c:dPt>
          <c:dPt>
            <c:idx val="82"/>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A5-A29B-43E0-9F70-D639BDBA62D6}"/>
              </c:ext>
            </c:extLst>
          </c:dPt>
          <c:dPt>
            <c:idx val="83"/>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A7-A29B-43E0-9F70-D639BDBA62D6}"/>
              </c:ext>
            </c:extLst>
          </c:dPt>
          <c:dPt>
            <c:idx val="84"/>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A9-A29B-43E0-9F70-D639BDBA62D6}"/>
              </c:ext>
            </c:extLst>
          </c:dPt>
          <c:dPt>
            <c:idx val="85"/>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AB-A29B-43E0-9F70-D639BDBA62D6}"/>
              </c:ext>
            </c:extLst>
          </c:dPt>
          <c:dPt>
            <c:idx val="86"/>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AD-A29B-43E0-9F70-D639BDBA62D6}"/>
              </c:ext>
            </c:extLst>
          </c:dPt>
          <c:dPt>
            <c:idx val="87"/>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AF-A29B-43E0-9F70-D639BDBA62D6}"/>
              </c:ext>
            </c:extLst>
          </c:dPt>
          <c:dPt>
            <c:idx val="88"/>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B1-A29B-43E0-9F70-D639BDBA62D6}"/>
              </c:ext>
            </c:extLst>
          </c:dPt>
          <c:dPt>
            <c:idx val="89"/>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B3-A29B-43E0-9F70-D639BDBA62D6}"/>
              </c:ext>
            </c:extLst>
          </c:dPt>
          <c:dPt>
            <c:idx val="90"/>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B5-A29B-43E0-9F70-D639BDBA62D6}"/>
              </c:ext>
            </c:extLst>
          </c:dPt>
          <c:dPt>
            <c:idx val="91"/>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B7-A29B-43E0-9F70-D639BDBA62D6}"/>
              </c:ext>
            </c:extLst>
          </c:dPt>
          <c:dPt>
            <c:idx val="92"/>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B9-A29B-43E0-9F70-D639BDBA62D6}"/>
              </c:ext>
            </c:extLst>
          </c:dPt>
          <c:dPt>
            <c:idx val="93"/>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BB-A29B-43E0-9F70-D639BDBA62D6}"/>
              </c:ext>
            </c:extLst>
          </c:dPt>
          <c:dPt>
            <c:idx val="94"/>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0BD-A29B-43E0-9F70-D639BDBA62D6}"/>
              </c:ext>
            </c:extLst>
          </c:dPt>
          <c:dPt>
            <c:idx val="95"/>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0BF-A29B-43E0-9F70-D639BDBA62D6}"/>
              </c:ext>
            </c:extLst>
          </c:dPt>
          <c:dPt>
            <c:idx val="96"/>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0C1-A29B-43E0-9F70-D639BDBA62D6}"/>
              </c:ext>
            </c:extLst>
          </c:dPt>
          <c:dPt>
            <c:idx val="97"/>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0C3-A29B-43E0-9F70-D639BDBA62D6}"/>
              </c:ext>
            </c:extLst>
          </c:dPt>
          <c:dPt>
            <c:idx val="98"/>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0C5-A29B-43E0-9F70-D639BDBA62D6}"/>
              </c:ext>
            </c:extLst>
          </c:dPt>
          <c:dPt>
            <c:idx val="99"/>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0C7-A29B-43E0-9F70-D639BDBA62D6}"/>
              </c:ext>
            </c:extLst>
          </c:dPt>
          <c:dPt>
            <c:idx val="100"/>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0C9-A29B-43E0-9F70-D639BDBA62D6}"/>
              </c:ext>
            </c:extLst>
          </c:dPt>
          <c:dPt>
            <c:idx val="101"/>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0CB-A29B-43E0-9F70-D639BDBA62D6}"/>
              </c:ext>
            </c:extLst>
          </c:dPt>
          <c:dPt>
            <c:idx val="102"/>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0CD-A29B-43E0-9F70-D639BDBA62D6}"/>
              </c:ext>
            </c:extLst>
          </c:dPt>
          <c:dPt>
            <c:idx val="103"/>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0CF-A29B-43E0-9F70-D639BDBA62D6}"/>
              </c:ext>
            </c:extLst>
          </c:dPt>
          <c:dPt>
            <c:idx val="104"/>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0D1-A29B-43E0-9F70-D639BDBA62D6}"/>
              </c:ext>
            </c:extLst>
          </c:dPt>
          <c:dPt>
            <c:idx val="105"/>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0D3-A29B-43E0-9F70-D639BDBA62D6}"/>
              </c:ext>
            </c:extLst>
          </c:dPt>
          <c:dPt>
            <c:idx val="106"/>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0D5-A29B-43E0-9F70-D639BDBA62D6}"/>
              </c:ext>
            </c:extLst>
          </c:dPt>
          <c:dPt>
            <c:idx val="107"/>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0D7-A29B-43E0-9F70-D639BDBA62D6}"/>
              </c:ext>
            </c:extLst>
          </c:dPt>
          <c:dPt>
            <c:idx val="108"/>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D9-A29B-43E0-9F70-D639BDBA62D6}"/>
              </c:ext>
            </c:extLst>
          </c:dPt>
          <c:dPt>
            <c:idx val="109"/>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DB-A29B-43E0-9F70-D639BDBA62D6}"/>
              </c:ext>
            </c:extLst>
          </c:dPt>
          <c:dPt>
            <c:idx val="110"/>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DD-A29B-43E0-9F70-D639BDBA62D6}"/>
              </c:ext>
            </c:extLst>
          </c:dPt>
          <c:dPt>
            <c:idx val="11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DF-A29B-43E0-9F70-D639BDBA62D6}"/>
              </c:ext>
            </c:extLst>
          </c:dPt>
          <c:dPt>
            <c:idx val="11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E1-A29B-43E0-9F70-D639BDBA62D6}"/>
              </c:ext>
            </c:extLst>
          </c:dPt>
          <c:dPt>
            <c:idx val="113"/>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E3-A29B-43E0-9F70-D639BDBA62D6}"/>
              </c:ext>
            </c:extLst>
          </c:dPt>
          <c:dPt>
            <c:idx val="114"/>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E5-A29B-43E0-9F70-D639BDBA62D6}"/>
              </c:ext>
            </c:extLst>
          </c:dPt>
          <c:dPt>
            <c:idx val="115"/>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E7-A29B-43E0-9F70-D639BDBA62D6}"/>
              </c:ext>
            </c:extLst>
          </c:dPt>
          <c:dPt>
            <c:idx val="116"/>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E9-A29B-43E0-9F70-D639BDBA62D6}"/>
              </c:ext>
            </c:extLst>
          </c:dPt>
          <c:dPt>
            <c:idx val="117"/>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EB-A29B-43E0-9F70-D639BDBA62D6}"/>
              </c:ext>
            </c:extLst>
          </c:dPt>
          <c:dPt>
            <c:idx val="118"/>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ED-A29B-43E0-9F70-D639BDBA62D6}"/>
              </c:ext>
            </c:extLst>
          </c:dPt>
          <c:dPt>
            <c:idx val="119"/>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EF-A29B-43E0-9F70-D639BDBA62D6}"/>
              </c:ext>
            </c:extLst>
          </c:dPt>
          <c:dPt>
            <c:idx val="120"/>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F1-A29B-43E0-9F70-D639BDBA62D6}"/>
              </c:ext>
            </c:extLst>
          </c:dPt>
          <c:dPt>
            <c:idx val="121"/>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F3-A29B-43E0-9F70-D639BDBA62D6}"/>
              </c:ext>
            </c:extLst>
          </c:dPt>
          <c:dPt>
            <c:idx val="122"/>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F5-A29B-43E0-9F70-D639BDBA62D6}"/>
              </c:ext>
            </c:extLst>
          </c:dPt>
          <c:dPt>
            <c:idx val="123"/>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F7-A29B-43E0-9F70-D639BDBA62D6}"/>
              </c:ext>
            </c:extLst>
          </c:dPt>
          <c:dPt>
            <c:idx val="124"/>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F9-A29B-43E0-9F70-D639BDBA62D6}"/>
              </c:ext>
            </c:extLst>
          </c:dPt>
          <c:dPt>
            <c:idx val="125"/>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FB-A29B-43E0-9F70-D639BDBA62D6}"/>
              </c:ext>
            </c:extLst>
          </c:dPt>
          <c:dPt>
            <c:idx val="126"/>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FD-A29B-43E0-9F70-D639BDBA62D6}"/>
              </c:ext>
            </c:extLst>
          </c:dPt>
          <c:dPt>
            <c:idx val="127"/>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FF-A29B-43E0-9F70-D639BDBA62D6}"/>
              </c:ext>
            </c:extLst>
          </c:dPt>
          <c:dPt>
            <c:idx val="128"/>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01-A29B-43E0-9F70-D639BDBA62D6}"/>
              </c:ext>
            </c:extLst>
          </c:dPt>
          <c:dPt>
            <c:idx val="129"/>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03-A29B-43E0-9F70-D639BDBA62D6}"/>
              </c:ext>
            </c:extLst>
          </c:dPt>
          <c:dPt>
            <c:idx val="130"/>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05-A29B-43E0-9F70-D639BDBA62D6}"/>
              </c:ext>
            </c:extLst>
          </c:dPt>
          <c:dPt>
            <c:idx val="131"/>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07-A29B-43E0-9F70-D639BDBA62D6}"/>
              </c:ext>
            </c:extLst>
          </c:dPt>
          <c:dPt>
            <c:idx val="132"/>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109-A29B-43E0-9F70-D639BDBA62D6}"/>
              </c:ext>
            </c:extLst>
          </c:dPt>
          <c:dPt>
            <c:idx val="133"/>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10B-A29B-43E0-9F70-D639BDBA62D6}"/>
              </c:ext>
            </c:extLst>
          </c:dPt>
          <c:dPt>
            <c:idx val="134"/>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10D-A29B-43E0-9F70-D639BDBA62D6}"/>
              </c:ext>
            </c:extLst>
          </c:dPt>
          <c:dPt>
            <c:idx val="135"/>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10F-A29B-43E0-9F70-D639BDBA62D6}"/>
              </c:ext>
            </c:extLst>
          </c:dPt>
          <c:dPt>
            <c:idx val="136"/>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111-A29B-43E0-9F70-D639BDBA62D6}"/>
              </c:ext>
            </c:extLst>
          </c:dPt>
          <c:dPt>
            <c:idx val="137"/>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113-A29B-43E0-9F70-D639BDBA62D6}"/>
              </c:ext>
            </c:extLst>
          </c:dPt>
          <c:dPt>
            <c:idx val="138"/>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115-A29B-43E0-9F70-D639BDBA62D6}"/>
              </c:ext>
            </c:extLst>
          </c:dPt>
          <c:dPt>
            <c:idx val="139"/>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117-A29B-43E0-9F70-D639BDBA62D6}"/>
              </c:ext>
            </c:extLst>
          </c:dPt>
          <c:dPt>
            <c:idx val="140"/>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119-A29B-43E0-9F70-D639BDBA62D6}"/>
              </c:ext>
            </c:extLst>
          </c:dPt>
          <c:dPt>
            <c:idx val="141"/>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11B-A29B-43E0-9F70-D639BDBA62D6}"/>
              </c:ext>
            </c:extLst>
          </c:dPt>
          <c:dPt>
            <c:idx val="142"/>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11D-A29B-43E0-9F70-D639BDBA62D6}"/>
              </c:ext>
            </c:extLst>
          </c:dPt>
          <c:dPt>
            <c:idx val="143"/>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11F-A29B-43E0-9F70-D639BDBA62D6}"/>
              </c:ext>
            </c:extLst>
          </c:dPt>
          <c:dPt>
            <c:idx val="144"/>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121-A29B-43E0-9F70-D639BDBA62D6}"/>
              </c:ext>
            </c:extLst>
          </c:dPt>
          <c:dPt>
            <c:idx val="145"/>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123-A29B-43E0-9F70-D639BDBA62D6}"/>
              </c:ext>
            </c:extLst>
          </c:dPt>
          <c:dPt>
            <c:idx val="146"/>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125-A29B-43E0-9F70-D639BDBA62D6}"/>
              </c:ext>
            </c:extLst>
          </c:dPt>
          <c:dPt>
            <c:idx val="147"/>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127-A29B-43E0-9F70-D639BDBA62D6}"/>
              </c:ext>
            </c:extLst>
          </c:dPt>
          <c:dPt>
            <c:idx val="148"/>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129-A29B-43E0-9F70-D639BDBA62D6}"/>
              </c:ext>
            </c:extLst>
          </c:dPt>
          <c:dPt>
            <c:idx val="149"/>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12B-A29B-43E0-9F70-D639BDBA62D6}"/>
              </c:ext>
            </c:extLst>
          </c:dPt>
          <c:dPt>
            <c:idx val="150"/>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12D-A29B-43E0-9F70-D639BDBA62D6}"/>
              </c:ext>
            </c:extLst>
          </c:dPt>
          <c:dPt>
            <c:idx val="151"/>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12F-A29B-43E0-9F70-D639BDBA62D6}"/>
              </c:ext>
            </c:extLst>
          </c:dPt>
          <c:dPt>
            <c:idx val="152"/>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131-A29B-43E0-9F70-D639BDBA62D6}"/>
              </c:ext>
            </c:extLst>
          </c:dPt>
          <c:dPt>
            <c:idx val="153"/>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133-A29B-43E0-9F70-D639BDBA62D6}"/>
              </c:ext>
            </c:extLst>
          </c:dPt>
          <c:dPt>
            <c:idx val="154"/>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135-A29B-43E0-9F70-D639BDBA62D6}"/>
              </c:ext>
            </c:extLst>
          </c:dPt>
          <c:dPt>
            <c:idx val="155"/>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137-A29B-43E0-9F70-D639BDBA62D6}"/>
              </c:ext>
            </c:extLst>
          </c:dPt>
          <c:dPt>
            <c:idx val="156"/>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139-A29B-43E0-9F70-D639BDBA62D6}"/>
              </c:ext>
            </c:extLst>
          </c:dPt>
          <c:dPt>
            <c:idx val="157"/>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13B-A29B-43E0-9F70-D639BDBA62D6}"/>
              </c:ext>
            </c:extLst>
          </c:dPt>
          <c:dPt>
            <c:idx val="158"/>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13D-A29B-43E0-9F70-D639BDBA62D6}"/>
              </c:ext>
            </c:extLst>
          </c:dPt>
          <c:dPt>
            <c:idx val="159"/>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13F-A29B-43E0-9F70-D639BDBA62D6}"/>
              </c:ext>
            </c:extLst>
          </c:dPt>
          <c:dPt>
            <c:idx val="160"/>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141-A29B-43E0-9F70-D639BDBA62D6}"/>
              </c:ext>
            </c:extLst>
          </c:dPt>
          <c:dPt>
            <c:idx val="161"/>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143-A29B-43E0-9F70-D639BDBA62D6}"/>
              </c:ext>
            </c:extLst>
          </c:dPt>
          <c:dPt>
            <c:idx val="162"/>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145-A29B-43E0-9F70-D639BDBA62D6}"/>
              </c:ext>
            </c:extLst>
          </c:dPt>
          <c:dPt>
            <c:idx val="163"/>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147-A29B-43E0-9F70-D639BDBA62D6}"/>
              </c:ext>
            </c:extLst>
          </c:dPt>
          <c:dPt>
            <c:idx val="164"/>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149-A29B-43E0-9F70-D639BDBA62D6}"/>
              </c:ext>
            </c:extLst>
          </c:dPt>
          <c:dPt>
            <c:idx val="165"/>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14B-A29B-43E0-9F70-D639BDBA62D6}"/>
              </c:ext>
            </c:extLst>
          </c:dPt>
          <c:dPt>
            <c:idx val="166"/>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14D-A29B-43E0-9F70-D639BDBA62D6}"/>
              </c:ext>
            </c:extLst>
          </c:dPt>
          <c:dPt>
            <c:idx val="167"/>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14F-A29B-43E0-9F70-D639BDBA62D6}"/>
              </c:ext>
            </c:extLst>
          </c:dPt>
          <c:dPt>
            <c:idx val="168"/>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151-A29B-43E0-9F70-D639BDBA62D6}"/>
              </c:ext>
            </c:extLst>
          </c:dPt>
          <c:dPt>
            <c:idx val="169"/>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153-A29B-43E0-9F70-D639BDBA62D6}"/>
              </c:ext>
            </c:extLst>
          </c:dPt>
          <c:dPt>
            <c:idx val="170"/>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155-A29B-43E0-9F70-D639BDBA62D6}"/>
              </c:ext>
            </c:extLst>
          </c:dPt>
          <c:dPt>
            <c:idx val="171"/>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157-A29B-43E0-9F70-D639BDBA62D6}"/>
              </c:ext>
            </c:extLst>
          </c:dPt>
          <c:dPt>
            <c:idx val="172"/>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159-A29B-43E0-9F70-D639BDBA62D6}"/>
              </c:ext>
            </c:extLst>
          </c:dPt>
          <c:dPt>
            <c:idx val="17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15B-A29B-43E0-9F70-D639BDBA62D6}"/>
              </c:ext>
            </c:extLst>
          </c:dPt>
          <c:dPt>
            <c:idx val="174"/>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15D-A29B-43E0-9F70-D639BDBA62D6}"/>
              </c:ext>
            </c:extLst>
          </c:dPt>
          <c:dPt>
            <c:idx val="175"/>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15F-A29B-43E0-9F70-D639BDBA62D6}"/>
              </c:ext>
            </c:extLst>
          </c:dPt>
          <c:dPt>
            <c:idx val="176"/>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161-A29B-43E0-9F70-D639BDBA62D6}"/>
              </c:ext>
            </c:extLst>
          </c:dPt>
          <c:dPt>
            <c:idx val="177"/>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163-A29B-43E0-9F70-D639BDBA62D6}"/>
              </c:ext>
            </c:extLst>
          </c:dPt>
          <c:dPt>
            <c:idx val="178"/>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165-A29B-43E0-9F70-D639BDBA62D6}"/>
              </c:ext>
            </c:extLst>
          </c:dPt>
          <c:dPt>
            <c:idx val="179"/>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167-A29B-43E0-9F70-D639BDBA62D6}"/>
              </c:ext>
            </c:extLst>
          </c:dPt>
          <c:dPt>
            <c:idx val="180"/>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169-A29B-43E0-9F70-D639BDBA62D6}"/>
              </c:ext>
            </c:extLst>
          </c:dPt>
          <c:dPt>
            <c:idx val="181"/>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16B-A29B-43E0-9F70-D639BDBA62D6}"/>
              </c:ext>
            </c:extLst>
          </c:dPt>
          <c:dPt>
            <c:idx val="182"/>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6D-A29B-43E0-9F70-D639BDBA62D6}"/>
              </c:ext>
            </c:extLst>
          </c:dPt>
          <c:dPt>
            <c:idx val="183"/>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6F-A29B-43E0-9F70-D639BDBA62D6}"/>
              </c:ext>
            </c:extLst>
          </c:dPt>
          <c:dPt>
            <c:idx val="184"/>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71-A29B-43E0-9F70-D639BDBA62D6}"/>
              </c:ext>
            </c:extLst>
          </c:dPt>
          <c:dPt>
            <c:idx val="185"/>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73-A29B-43E0-9F70-D639BDBA62D6}"/>
              </c:ext>
            </c:extLst>
          </c:dPt>
          <c:dPt>
            <c:idx val="186"/>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175-A29B-43E0-9F70-D639BDBA62D6}"/>
              </c:ext>
            </c:extLst>
          </c:dPt>
          <c:dPt>
            <c:idx val="187"/>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177-A29B-43E0-9F70-D639BDBA62D6}"/>
              </c:ext>
            </c:extLst>
          </c:dPt>
          <c:dPt>
            <c:idx val="188"/>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179-A29B-43E0-9F70-D639BDBA62D6}"/>
              </c:ext>
            </c:extLst>
          </c:dPt>
          <c:dPt>
            <c:idx val="189"/>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17B-A29B-43E0-9F70-D639BDBA62D6}"/>
              </c:ext>
            </c:extLst>
          </c:dPt>
          <c:dPt>
            <c:idx val="190"/>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17D-A29B-43E0-9F70-D639BDBA62D6}"/>
              </c:ext>
            </c:extLst>
          </c:dPt>
          <c:dPt>
            <c:idx val="191"/>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17F-A29B-43E0-9F70-D639BDBA62D6}"/>
              </c:ext>
            </c:extLst>
          </c:dPt>
          <c:dPt>
            <c:idx val="192"/>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181-A29B-43E0-9F70-D639BDBA62D6}"/>
              </c:ext>
            </c:extLst>
          </c:dPt>
          <c:dPt>
            <c:idx val="193"/>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183-A29B-43E0-9F70-D639BDBA62D6}"/>
              </c:ext>
            </c:extLst>
          </c:dPt>
          <c:dPt>
            <c:idx val="194"/>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185-A29B-43E0-9F70-D639BDBA62D6}"/>
              </c:ext>
            </c:extLst>
          </c:dPt>
          <c:dPt>
            <c:idx val="195"/>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187-A29B-43E0-9F70-D639BDBA62D6}"/>
              </c:ext>
            </c:extLst>
          </c:dPt>
          <c:dPt>
            <c:idx val="196"/>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189-A29B-43E0-9F70-D639BDBA62D6}"/>
              </c:ext>
            </c:extLst>
          </c:dPt>
          <c:dPt>
            <c:idx val="197"/>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18B-A29B-43E0-9F70-D639BDBA62D6}"/>
              </c:ext>
            </c:extLst>
          </c:dPt>
          <c:dPt>
            <c:idx val="198"/>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18D-A29B-43E0-9F70-D639BDBA62D6}"/>
              </c:ext>
            </c:extLst>
          </c:dPt>
          <c:dPt>
            <c:idx val="199"/>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18F-A29B-43E0-9F70-D639BDBA62D6}"/>
              </c:ext>
            </c:extLst>
          </c:dPt>
          <c:dPt>
            <c:idx val="200"/>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191-A29B-43E0-9F70-D639BDBA62D6}"/>
              </c:ext>
            </c:extLst>
          </c:dPt>
          <c:dPt>
            <c:idx val="201"/>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193-A29B-43E0-9F70-D639BDBA62D6}"/>
              </c:ext>
            </c:extLst>
          </c:dPt>
          <c:dPt>
            <c:idx val="202"/>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195-A29B-43E0-9F70-D639BDBA62D6}"/>
              </c:ext>
            </c:extLst>
          </c:dPt>
          <c:dPt>
            <c:idx val="203"/>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197-A29B-43E0-9F70-D639BDBA62D6}"/>
              </c:ext>
            </c:extLst>
          </c:dPt>
          <c:dPt>
            <c:idx val="204"/>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199-A29B-43E0-9F70-D639BDBA62D6}"/>
              </c:ext>
            </c:extLst>
          </c:dPt>
          <c:dPt>
            <c:idx val="205"/>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19B-A29B-43E0-9F70-D639BDBA62D6}"/>
              </c:ext>
            </c:extLst>
          </c:dPt>
          <c:dPt>
            <c:idx val="206"/>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19D-A29B-43E0-9F70-D639BDBA62D6}"/>
              </c:ext>
            </c:extLst>
          </c:dPt>
          <c:dPt>
            <c:idx val="207"/>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19F-A29B-43E0-9F70-D639BDBA62D6}"/>
              </c:ext>
            </c:extLst>
          </c:dPt>
          <c:dPt>
            <c:idx val="208"/>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1A1-A29B-43E0-9F70-D639BDBA62D6}"/>
              </c:ext>
            </c:extLst>
          </c:dPt>
          <c:dPt>
            <c:idx val="209"/>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1A3-A29B-43E0-9F70-D639BDBA62D6}"/>
              </c:ext>
            </c:extLst>
          </c:dPt>
          <c:dPt>
            <c:idx val="210"/>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1A5-A29B-43E0-9F70-D639BDBA62D6}"/>
              </c:ext>
            </c:extLst>
          </c:dPt>
          <c:dPt>
            <c:idx val="211"/>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1A7-A29B-43E0-9F70-D639BDBA62D6}"/>
              </c:ext>
            </c:extLst>
          </c:dPt>
          <c:dPt>
            <c:idx val="212"/>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1A9-A29B-43E0-9F70-D639BDBA62D6}"/>
              </c:ext>
            </c:extLst>
          </c:dPt>
          <c:dPt>
            <c:idx val="213"/>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1AB-A29B-43E0-9F70-D639BDBA62D6}"/>
              </c:ext>
            </c:extLst>
          </c:dPt>
          <c:dPt>
            <c:idx val="214"/>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1AD-A29B-43E0-9F70-D639BDBA62D6}"/>
              </c:ext>
            </c:extLst>
          </c:dPt>
          <c:dPt>
            <c:idx val="215"/>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1AF-A29B-43E0-9F70-D639BDBA62D6}"/>
              </c:ext>
            </c:extLst>
          </c:dPt>
          <c:dPt>
            <c:idx val="216"/>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1B1-A29B-43E0-9F70-D639BDBA62D6}"/>
              </c:ext>
            </c:extLst>
          </c:dPt>
          <c:dPt>
            <c:idx val="217"/>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1B3-A29B-43E0-9F70-D639BDBA62D6}"/>
              </c:ext>
            </c:extLst>
          </c:dPt>
          <c:dPt>
            <c:idx val="218"/>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1B5-A29B-43E0-9F70-D639BDBA62D6}"/>
              </c:ext>
            </c:extLst>
          </c:dPt>
          <c:dPt>
            <c:idx val="219"/>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1B7-A29B-43E0-9F70-D639BDBA62D6}"/>
              </c:ext>
            </c:extLst>
          </c:dPt>
          <c:dPt>
            <c:idx val="220"/>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1B9-A29B-43E0-9F70-D639BDBA62D6}"/>
              </c:ext>
            </c:extLst>
          </c:dPt>
          <c:dPt>
            <c:idx val="221"/>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1BB-A29B-43E0-9F70-D639BDBA62D6}"/>
              </c:ext>
            </c:extLst>
          </c:dPt>
          <c:dPt>
            <c:idx val="222"/>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1BD-A29B-43E0-9F70-D639BDBA62D6}"/>
              </c:ext>
            </c:extLst>
          </c:dPt>
          <c:dPt>
            <c:idx val="223"/>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1BF-A29B-43E0-9F70-D639BDBA62D6}"/>
              </c:ext>
            </c:extLst>
          </c:dPt>
          <c:dPt>
            <c:idx val="224"/>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1C1-A29B-43E0-9F70-D639BDBA62D6}"/>
              </c:ext>
            </c:extLst>
          </c:dPt>
          <c:dPt>
            <c:idx val="22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1C3-A29B-43E0-9F70-D639BDBA62D6}"/>
              </c:ext>
            </c:extLst>
          </c:dPt>
          <c:dPt>
            <c:idx val="226"/>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1C5-A29B-43E0-9F70-D639BDBA62D6}"/>
              </c:ext>
            </c:extLst>
          </c:dPt>
          <c:dPt>
            <c:idx val="227"/>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1C7-A29B-43E0-9F70-D639BDBA62D6}"/>
              </c:ext>
            </c:extLst>
          </c:dPt>
          <c:dPt>
            <c:idx val="228"/>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1C9-A29B-43E0-9F70-D639BDBA62D6}"/>
              </c:ext>
            </c:extLst>
          </c:dPt>
          <c:dPt>
            <c:idx val="229"/>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1CB-A29B-43E0-9F70-D639BDBA62D6}"/>
              </c:ext>
            </c:extLst>
          </c:dPt>
          <c:dPt>
            <c:idx val="230"/>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1CD-A29B-43E0-9F70-D639BDBA62D6}"/>
              </c:ext>
            </c:extLst>
          </c:dPt>
          <c:dPt>
            <c:idx val="231"/>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1CF-A29B-43E0-9F70-D639BDBA62D6}"/>
              </c:ext>
            </c:extLst>
          </c:dPt>
          <c:dPt>
            <c:idx val="232"/>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1D1-A29B-43E0-9F70-D639BDBA62D6}"/>
              </c:ext>
            </c:extLst>
          </c:dPt>
          <c:dPt>
            <c:idx val="233"/>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1D3-A29B-43E0-9F70-D639BDBA62D6}"/>
              </c:ext>
            </c:extLst>
          </c:dPt>
          <c:dPt>
            <c:idx val="234"/>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1D5-A29B-43E0-9F70-D639BDBA62D6}"/>
              </c:ext>
            </c:extLst>
          </c:dPt>
          <c:dPt>
            <c:idx val="235"/>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1D7-A29B-43E0-9F70-D639BDBA62D6}"/>
              </c:ext>
            </c:extLst>
          </c:dPt>
          <c:dPt>
            <c:idx val="236"/>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D9-A29B-43E0-9F70-D639BDBA62D6}"/>
              </c:ext>
            </c:extLst>
          </c:dPt>
          <c:dPt>
            <c:idx val="237"/>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DB-A29B-43E0-9F70-D639BDBA62D6}"/>
              </c:ext>
            </c:extLst>
          </c:dPt>
          <c:dPt>
            <c:idx val="238"/>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DD-A29B-43E0-9F70-D639BDBA62D6}"/>
              </c:ext>
            </c:extLst>
          </c:dPt>
          <c:dPt>
            <c:idx val="239"/>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DF-A29B-43E0-9F70-D639BDBA62D6}"/>
              </c:ext>
            </c:extLst>
          </c:dPt>
          <c:dPt>
            <c:idx val="240"/>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1E1-A29B-43E0-9F70-D639BDBA62D6}"/>
              </c:ext>
            </c:extLst>
          </c:dPt>
          <c:dPt>
            <c:idx val="241"/>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1E3-A29B-43E0-9F70-D639BDBA62D6}"/>
              </c:ext>
            </c:extLst>
          </c:dPt>
          <c:dPt>
            <c:idx val="242"/>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1E5-A29B-43E0-9F70-D639BDBA62D6}"/>
              </c:ext>
            </c:extLst>
          </c:dPt>
          <c:dPt>
            <c:idx val="243"/>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1E7-A29B-43E0-9F70-D639BDBA62D6}"/>
              </c:ext>
            </c:extLst>
          </c:dPt>
          <c:dPt>
            <c:idx val="244"/>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1E9-A29B-43E0-9F70-D639BDBA62D6}"/>
              </c:ext>
            </c:extLst>
          </c:dPt>
          <c:dPt>
            <c:idx val="245"/>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1EB-A29B-43E0-9F70-D639BDBA62D6}"/>
              </c:ext>
            </c:extLst>
          </c:dPt>
          <c:dPt>
            <c:idx val="246"/>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1ED-A29B-43E0-9F70-D639BDBA62D6}"/>
              </c:ext>
            </c:extLst>
          </c:dPt>
          <c:dPt>
            <c:idx val="247"/>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1EF-A29B-43E0-9F70-D639BDBA62D6}"/>
              </c:ext>
            </c:extLst>
          </c:dPt>
          <c:dPt>
            <c:idx val="248"/>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1F1-A29B-43E0-9F70-D639BDBA62D6}"/>
              </c:ext>
            </c:extLst>
          </c:dPt>
          <c:dPt>
            <c:idx val="249"/>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1F3-A29B-43E0-9F70-D639BDBA62D6}"/>
              </c:ext>
            </c:extLst>
          </c:dPt>
          <c:dPt>
            <c:idx val="250"/>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1F5-A29B-43E0-9F70-D639BDBA62D6}"/>
              </c:ext>
            </c:extLst>
          </c:dPt>
          <c:dPt>
            <c:idx val="251"/>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1F7-A29B-43E0-9F70-D639BDBA62D6}"/>
              </c:ext>
            </c:extLst>
          </c:dPt>
          <c:dPt>
            <c:idx val="252"/>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1F9-A29B-43E0-9F70-D639BDBA62D6}"/>
              </c:ext>
            </c:extLst>
          </c:dPt>
          <c:dPt>
            <c:idx val="253"/>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1FB-A29B-43E0-9F70-D639BDBA62D6}"/>
              </c:ext>
            </c:extLst>
          </c:dPt>
          <c:dPt>
            <c:idx val="254"/>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1FD-A29B-43E0-9F70-D639BDBA62D6}"/>
              </c:ext>
            </c:extLst>
          </c:dPt>
          <c:dPt>
            <c:idx val="255"/>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1FF-A29B-43E0-9F70-D639BDBA62D6}"/>
              </c:ext>
            </c:extLst>
          </c:dPt>
          <c:dPt>
            <c:idx val="256"/>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201-A29B-43E0-9F70-D639BDBA62D6}"/>
              </c:ext>
            </c:extLst>
          </c:dPt>
          <c:dPt>
            <c:idx val="257"/>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203-A29B-43E0-9F70-D639BDBA62D6}"/>
              </c:ext>
            </c:extLst>
          </c:dPt>
          <c:dPt>
            <c:idx val="258"/>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205-A29B-43E0-9F70-D639BDBA62D6}"/>
              </c:ext>
            </c:extLst>
          </c:dPt>
          <c:dPt>
            <c:idx val="259"/>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207-A29B-43E0-9F70-D639BDBA62D6}"/>
              </c:ext>
            </c:extLst>
          </c:dPt>
          <c:dPt>
            <c:idx val="260"/>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209-A29B-43E0-9F70-D639BDBA62D6}"/>
              </c:ext>
            </c:extLst>
          </c:dPt>
          <c:dPt>
            <c:idx val="261"/>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20B-A29B-43E0-9F70-D639BDBA62D6}"/>
              </c:ext>
            </c:extLst>
          </c:dPt>
          <c:dPt>
            <c:idx val="262"/>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20D-A29B-43E0-9F70-D639BDBA62D6}"/>
              </c:ext>
            </c:extLst>
          </c:dPt>
          <c:dPt>
            <c:idx val="263"/>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20F-A29B-43E0-9F70-D639BDBA62D6}"/>
              </c:ext>
            </c:extLst>
          </c:dPt>
          <c:dPt>
            <c:idx val="264"/>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211-A29B-43E0-9F70-D639BDBA62D6}"/>
              </c:ext>
            </c:extLst>
          </c:dPt>
          <c:dPt>
            <c:idx val="265"/>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213-A29B-43E0-9F70-D639BDBA62D6}"/>
              </c:ext>
            </c:extLst>
          </c:dPt>
          <c:dPt>
            <c:idx val="266"/>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215-A29B-43E0-9F70-D639BDBA62D6}"/>
              </c:ext>
            </c:extLst>
          </c:dPt>
          <c:dPt>
            <c:idx val="267"/>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217-A29B-43E0-9F70-D639BDBA62D6}"/>
              </c:ext>
            </c:extLst>
          </c:dPt>
          <c:dPt>
            <c:idx val="268"/>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219-A29B-43E0-9F70-D639BDBA62D6}"/>
              </c:ext>
            </c:extLst>
          </c:dPt>
          <c:dPt>
            <c:idx val="269"/>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21B-A29B-43E0-9F70-D639BDBA62D6}"/>
              </c:ext>
            </c:extLst>
          </c:dPt>
          <c:dPt>
            <c:idx val="27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21D-A29B-43E0-9F70-D639BDBA62D6}"/>
              </c:ext>
            </c:extLst>
          </c:dPt>
          <c:dPt>
            <c:idx val="27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21F-A29B-43E0-9F70-D639BDBA62D6}"/>
              </c:ext>
            </c:extLst>
          </c:dPt>
          <c:dPt>
            <c:idx val="27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221-A29B-43E0-9F70-D639BDBA62D6}"/>
              </c:ext>
            </c:extLst>
          </c:dPt>
          <c:dPt>
            <c:idx val="27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223-A29B-43E0-9F70-D639BDBA62D6}"/>
              </c:ext>
            </c:extLst>
          </c:dPt>
          <c:dPt>
            <c:idx val="27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225-A29B-43E0-9F70-D639BDBA62D6}"/>
              </c:ext>
            </c:extLst>
          </c:dPt>
          <c:dPt>
            <c:idx val="27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227-A29B-43E0-9F70-D639BDBA62D6}"/>
              </c:ext>
            </c:extLst>
          </c:dPt>
          <c:dPt>
            <c:idx val="27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229-A29B-43E0-9F70-D639BDBA62D6}"/>
              </c:ext>
            </c:extLst>
          </c:dPt>
          <c:dPt>
            <c:idx val="27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22B-A29B-43E0-9F70-D639BDBA62D6}"/>
              </c:ext>
            </c:extLst>
          </c:dPt>
          <c:dPt>
            <c:idx val="27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22D-A29B-43E0-9F70-D639BDBA62D6}"/>
              </c:ext>
            </c:extLst>
          </c:dPt>
          <c:dPt>
            <c:idx val="27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22F-A29B-43E0-9F70-D639BDBA62D6}"/>
              </c:ext>
            </c:extLst>
          </c:dPt>
          <c:dPt>
            <c:idx val="28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231-A29B-43E0-9F70-D639BDBA62D6}"/>
              </c:ext>
            </c:extLst>
          </c:dPt>
          <c:dPt>
            <c:idx val="28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233-A29B-43E0-9F70-D639BDBA62D6}"/>
              </c:ext>
            </c:extLst>
          </c:dPt>
          <c:dPt>
            <c:idx val="28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235-A29B-43E0-9F70-D639BDBA62D6}"/>
              </c:ext>
            </c:extLst>
          </c:dPt>
          <c:dPt>
            <c:idx val="28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237-A29B-43E0-9F70-D639BDBA62D6}"/>
              </c:ext>
            </c:extLst>
          </c:dPt>
          <c:dPt>
            <c:idx val="28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239-A29B-43E0-9F70-D639BDBA62D6}"/>
              </c:ext>
            </c:extLst>
          </c:dPt>
          <c:dPt>
            <c:idx val="28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23B-A29B-43E0-9F70-D639BDBA62D6}"/>
              </c:ext>
            </c:extLst>
          </c:dPt>
          <c:dPt>
            <c:idx val="28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23D-A29B-43E0-9F70-D639BDBA62D6}"/>
              </c:ext>
            </c:extLst>
          </c:dPt>
          <c:dPt>
            <c:idx val="28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23F-A29B-43E0-9F70-D639BDBA62D6}"/>
              </c:ext>
            </c:extLst>
          </c:dPt>
          <c:dPt>
            <c:idx val="28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241-A29B-43E0-9F70-D639BDBA62D6}"/>
              </c:ext>
            </c:extLst>
          </c:dPt>
          <c:dPt>
            <c:idx val="28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243-A29B-43E0-9F70-D639BDBA62D6}"/>
              </c:ext>
            </c:extLst>
          </c:dPt>
          <c:dPt>
            <c:idx val="29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245-A29B-43E0-9F70-D639BDBA62D6}"/>
              </c:ext>
            </c:extLst>
          </c:dPt>
          <c:dPt>
            <c:idx val="29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247-A29B-43E0-9F70-D639BDBA62D6}"/>
              </c:ext>
            </c:extLst>
          </c:dPt>
          <c:dPt>
            <c:idx val="29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249-A29B-43E0-9F70-D639BDBA62D6}"/>
              </c:ext>
            </c:extLst>
          </c:dPt>
          <c:dPt>
            <c:idx val="29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24B-A29B-43E0-9F70-D639BDBA62D6}"/>
              </c:ext>
            </c:extLst>
          </c:dPt>
          <c:dPt>
            <c:idx val="29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24D-A29B-43E0-9F70-D639BDBA62D6}"/>
              </c:ext>
            </c:extLst>
          </c:dPt>
          <c:dPt>
            <c:idx val="29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24F-A29B-43E0-9F70-D639BDBA62D6}"/>
              </c:ext>
            </c:extLst>
          </c:dPt>
          <c:dPt>
            <c:idx val="29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251-A29B-43E0-9F70-D639BDBA62D6}"/>
              </c:ext>
            </c:extLst>
          </c:dPt>
          <c:dPt>
            <c:idx val="29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253-A29B-43E0-9F70-D639BDBA62D6}"/>
              </c:ext>
            </c:extLst>
          </c:dPt>
          <c:dPt>
            <c:idx val="29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255-A29B-43E0-9F70-D639BDBA62D6}"/>
              </c:ext>
            </c:extLst>
          </c:dPt>
          <c:dPt>
            <c:idx val="29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257-A29B-43E0-9F70-D639BDBA62D6}"/>
              </c:ext>
            </c:extLst>
          </c:dPt>
          <c:dPt>
            <c:idx val="30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259-A29B-43E0-9F70-D639BDBA62D6}"/>
              </c:ext>
            </c:extLst>
          </c:dPt>
          <c:dPt>
            <c:idx val="30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25B-A29B-43E0-9F70-D639BDBA62D6}"/>
              </c:ext>
            </c:extLst>
          </c:dPt>
          <c:dPt>
            <c:idx val="30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25D-A29B-43E0-9F70-D639BDBA62D6}"/>
              </c:ext>
            </c:extLst>
          </c:dPt>
          <c:dPt>
            <c:idx val="30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25F-A29B-43E0-9F70-D639BDBA62D6}"/>
              </c:ext>
            </c:extLst>
          </c:dPt>
          <c:dPt>
            <c:idx val="30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261-A29B-43E0-9F70-D639BDBA62D6}"/>
              </c:ext>
            </c:extLst>
          </c:dPt>
          <c:dPt>
            <c:idx val="30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263-A29B-43E0-9F70-D639BDBA62D6}"/>
              </c:ext>
            </c:extLst>
          </c:dPt>
          <c:dPt>
            <c:idx val="30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265-A29B-43E0-9F70-D639BDBA62D6}"/>
              </c:ext>
            </c:extLst>
          </c:dPt>
          <c:dPt>
            <c:idx val="30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267-A29B-43E0-9F70-D639BDBA62D6}"/>
              </c:ext>
            </c:extLst>
          </c:dPt>
          <c:dPt>
            <c:idx val="30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269-A29B-43E0-9F70-D639BDBA62D6}"/>
              </c:ext>
            </c:extLst>
          </c:dPt>
          <c:dPt>
            <c:idx val="30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26B-A29B-43E0-9F70-D639BDBA62D6}"/>
              </c:ext>
            </c:extLst>
          </c:dPt>
          <c:dPt>
            <c:idx val="310"/>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26D-A29B-43E0-9F70-D639BDBA62D6}"/>
              </c:ext>
            </c:extLst>
          </c:dPt>
          <c:dPt>
            <c:idx val="311"/>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26F-A29B-43E0-9F70-D639BDBA62D6}"/>
              </c:ext>
            </c:extLst>
          </c:dPt>
          <c:dPt>
            <c:idx val="312"/>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271-A29B-43E0-9F70-D639BDBA62D6}"/>
              </c:ext>
            </c:extLst>
          </c:dPt>
          <c:dPt>
            <c:idx val="313"/>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273-A29B-43E0-9F70-D639BDBA62D6}"/>
              </c:ext>
            </c:extLst>
          </c:dPt>
          <c:dPt>
            <c:idx val="314"/>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275-A29B-43E0-9F70-D639BDBA62D6}"/>
              </c:ext>
            </c:extLst>
          </c:dPt>
          <c:dPt>
            <c:idx val="315"/>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277-A29B-43E0-9F70-D639BDBA62D6}"/>
              </c:ext>
            </c:extLst>
          </c:dPt>
          <c:dPt>
            <c:idx val="316"/>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279-A29B-43E0-9F70-D639BDBA62D6}"/>
              </c:ext>
            </c:extLst>
          </c:dPt>
          <c:dPt>
            <c:idx val="317"/>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27B-A29B-43E0-9F70-D639BDBA62D6}"/>
              </c:ext>
            </c:extLst>
          </c:dPt>
          <c:dPt>
            <c:idx val="318"/>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27D-A29B-43E0-9F70-D639BDBA62D6}"/>
              </c:ext>
            </c:extLst>
          </c:dPt>
          <c:dPt>
            <c:idx val="319"/>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27F-A29B-43E0-9F70-D639BDBA62D6}"/>
              </c:ext>
            </c:extLst>
          </c:dPt>
          <c:dPt>
            <c:idx val="320"/>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281-A29B-43E0-9F70-D639BDBA62D6}"/>
              </c:ext>
            </c:extLst>
          </c:dPt>
          <c:dPt>
            <c:idx val="321"/>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283-A29B-43E0-9F70-D639BDBA62D6}"/>
              </c:ext>
            </c:extLst>
          </c:dPt>
          <c:dPt>
            <c:idx val="322"/>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285-A29B-43E0-9F70-D639BDBA62D6}"/>
              </c:ext>
            </c:extLst>
          </c:dPt>
          <c:dPt>
            <c:idx val="323"/>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287-A29B-43E0-9F70-D639BDBA62D6}"/>
              </c:ext>
            </c:extLst>
          </c:dPt>
          <c:dPt>
            <c:idx val="324"/>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289-A29B-43E0-9F70-D639BDBA62D6}"/>
              </c:ext>
            </c:extLst>
          </c:dPt>
          <c:dPt>
            <c:idx val="325"/>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28B-A29B-43E0-9F70-D639BDBA62D6}"/>
              </c:ext>
            </c:extLst>
          </c:dPt>
          <c:dPt>
            <c:idx val="326"/>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28D-A29B-43E0-9F70-D639BDBA62D6}"/>
              </c:ext>
            </c:extLst>
          </c:dPt>
          <c:dPt>
            <c:idx val="327"/>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28F-A29B-43E0-9F70-D639BDBA62D6}"/>
              </c:ext>
            </c:extLst>
          </c:dPt>
          <c:dPt>
            <c:idx val="328"/>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291-A29B-43E0-9F70-D639BDBA62D6}"/>
              </c:ext>
            </c:extLst>
          </c:dPt>
          <c:dPt>
            <c:idx val="329"/>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293-A29B-43E0-9F70-D639BDBA62D6}"/>
              </c:ext>
            </c:extLst>
          </c:dPt>
          <c:dPt>
            <c:idx val="330"/>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295-A29B-43E0-9F70-D639BDBA62D6}"/>
              </c:ext>
            </c:extLst>
          </c:dPt>
          <c:dPt>
            <c:idx val="331"/>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297-A29B-43E0-9F70-D639BDBA62D6}"/>
              </c:ext>
            </c:extLst>
          </c:dPt>
          <c:dPt>
            <c:idx val="332"/>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299-A29B-43E0-9F70-D639BDBA62D6}"/>
              </c:ext>
            </c:extLst>
          </c:dPt>
          <c:dPt>
            <c:idx val="333"/>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29B-A29B-43E0-9F70-D639BDBA62D6}"/>
              </c:ext>
            </c:extLst>
          </c:dPt>
          <c:dPt>
            <c:idx val="33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29D-A29B-43E0-9F70-D639BDBA62D6}"/>
              </c:ext>
            </c:extLst>
          </c:dPt>
          <c:dPt>
            <c:idx val="335"/>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29F-A29B-43E0-9F70-D639BDBA62D6}"/>
              </c:ext>
            </c:extLst>
          </c:dPt>
          <c:dPt>
            <c:idx val="336"/>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2A1-A29B-43E0-9F70-D639BDBA62D6}"/>
              </c:ext>
            </c:extLst>
          </c:dPt>
          <c:dPt>
            <c:idx val="337"/>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2A3-A29B-43E0-9F70-D639BDBA62D6}"/>
              </c:ext>
            </c:extLst>
          </c:dPt>
          <c:dPt>
            <c:idx val="338"/>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2A5-A29B-43E0-9F70-D639BDBA62D6}"/>
              </c:ext>
            </c:extLst>
          </c:dPt>
          <c:dPt>
            <c:idx val="339"/>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2A7-A29B-43E0-9F70-D639BDBA62D6}"/>
              </c:ext>
            </c:extLst>
          </c:dPt>
          <c:dPt>
            <c:idx val="340"/>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2A9-A29B-43E0-9F70-D639BDBA62D6}"/>
              </c:ext>
            </c:extLst>
          </c:dPt>
          <c:dPt>
            <c:idx val="341"/>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2AB-A29B-43E0-9F70-D639BDBA62D6}"/>
              </c:ext>
            </c:extLst>
          </c:dPt>
          <c:dPt>
            <c:idx val="342"/>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2AD-A29B-43E0-9F70-D639BDBA62D6}"/>
              </c:ext>
            </c:extLst>
          </c:dPt>
          <c:dPt>
            <c:idx val="343"/>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2AF-A29B-43E0-9F70-D639BDBA62D6}"/>
              </c:ext>
            </c:extLst>
          </c:dPt>
          <c:dPt>
            <c:idx val="344"/>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2B1-A29B-43E0-9F70-D639BDBA62D6}"/>
              </c:ext>
            </c:extLst>
          </c:dPt>
          <c:dPt>
            <c:idx val="345"/>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2B3-A29B-43E0-9F70-D639BDBA62D6}"/>
              </c:ext>
            </c:extLst>
          </c:dPt>
          <c:dPt>
            <c:idx val="346"/>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2B5-A29B-43E0-9F70-D639BDBA62D6}"/>
              </c:ext>
            </c:extLst>
          </c:dPt>
          <c:dPt>
            <c:idx val="347"/>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2B7-A29B-43E0-9F70-D639BDBA62D6}"/>
              </c:ext>
            </c:extLst>
          </c:dPt>
          <c:dPt>
            <c:idx val="348"/>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2B9-A29B-43E0-9F70-D639BDBA62D6}"/>
              </c:ext>
            </c:extLst>
          </c:dPt>
          <c:dPt>
            <c:idx val="349"/>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2BB-A29B-43E0-9F70-D639BDBA62D6}"/>
              </c:ext>
            </c:extLst>
          </c:dPt>
          <c:dPt>
            <c:idx val="350"/>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2BD-A29B-43E0-9F70-D639BDBA62D6}"/>
              </c:ext>
            </c:extLst>
          </c:dPt>
          <c:dPt>
            <c:idx val="351"/>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2BF-A29B-43E0-9F70-D639BDBA62D6}"/>
              </c:ext>
            </c:extLst>
          </c:dPt>
          <c:dPt>
            <c:idx val="352"/>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2C1-A29B-43E0-9F70-D639BDBA62D6}"/>
              </c:ext>
            </c:extLst>
          </c:dPt>
          <c:dPt>
            <c:idx val="353"/>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2C3-A29B-43E0-9F70-D639BDBA62D6}"/>
              </c:ext>
            </c:extLst>
          </c:dPt>
          <c:dPt>
            <c:idx val="354"/>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2C5-A29B-43E0-9F70-D639BDBA62D6}"/>
              </c:ext>
            </c:extLst>
          </c:dPt>
          <c:dPt>
            <c:idx val="355"/>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2C7-A29B-43E0-9F70-D639BDBA62D6}"/>
              </c:ext>
            </c:extLst>
          </c:dPt>
          <c:dPt>
            <c:idx val="356"/>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2C9-A29B-43E0-9F70-D639BDBA62D6}"/>
              </c:ext>
            </c:extLst>
          </c:dPt>
          <c:dPt>
            <c:idx val="357"/>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2CB-A29B-43E0-9F70-D639BDBA62D6}"/>
              </c:ext>
            </c:extLst>
          </c:dPt>
          <c:dPt>
            <c:idx val="358"/>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2CD-A29B-43E0-9F70-D639BDBA62D6}"/>
              </c:ext>
            </c:extLst>
          </c:dPt>
          <c:dPt>
            <c:idx val="359"/>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2CF-A29B-43E0-9F70-D639BDBA62D6}"/>
              </c:ext>
            </c:extLst>
          </c:dPt>
          <c:dPt>
            <c:idx val="360"/>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2D1-A29B-43E0-9F70-D639BDBA62D6}"/>
              </c:ext>
            </c:extLst>
          </c:dPt>
          <c:dPt>
            <c:idx val="361"/>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2D3-A29B-43E0-9F70-D639BDBA62D6}"/>
              </c:ext>
            </c:extLst>
          </c:dPt>
          <c:dPt>
            <c:idx val="362"/>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2D5-A29B-43E0-9F70-D639BDBA62D6}"/>
              </c:ext>
            </c:extLst>
          </c:dPt>
          <c:dPt>
            <c:idx val="363"/>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2D7-A29B-43E0-9F70-D639BDBA62D6}"/>
              </c:ext>
            </c:extLst>
          </c:dPt>
          <c:dPt>
            <c:idx val="364"/>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2D9-A29B-43E0-9F70-D639BDBA62D6}"/>
              </c:ext>
            </c:extLst>
          </c:dPt>
          <c:dPt>
            <c:idx val="365"/>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2DB-A29B-43E0-9F70-D639BDBA62D6}"/>
              </c:ext>
            </c:extLst>
          </c:dPt>
          <c:dPt>
            <c:idx val="366"/>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2DD-A29B-43E0-9F70-D639BDBA62D6}"/>
              </c:ext>
            </c:extLst>
          </c:dPt>
          <c:dPt>
            <c:idx val="367"/>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2DF-A29B-43E0-9F70-D639BDBA62D6}"/>
              </c:ext>
            </c:extLst>
          </c:dPt>
          <c:dPt>
            <c:idx val="368"/>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2E1-A29B-43E0-9F70-D639BDBA62D6}"/>
              </c:ext>
            </c:extLst>
          </c:dPt>
          <c:dPt>
            <c:idx val="369"/>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2E3-A29B-43E0-9F70-D639BDBA62D6}"/>
              </c:ext>
            </c:extLst>
          </c:dPt>
          <c:dPt>
            <c:idx val="370"/>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2E5-A29B-43E0-9F70-D639BDBA62D6}"/>
              </c:ext>
            </c:extLst>
          </c:dPt>
          <c:dPt>
            <c:idx val="371"/>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2E7-A29B-43E0-9F70-D639BDBA62D6}"/>
              </c:ext>
            </c:extLst>
          </c:dPt>
          <c:dPt>
            <c:idx val="372"/>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2E9-A29B-43E0-9F70-D639BDBA62D6}"/>
              </c:ext>
            </c:extLst>
          </c:dPt>
          <c:dPt>
            <c:idx val="373"/>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2EB-A29B-43E0-9F70-D639BDBA62D6}"/>
              </c:ext>
            </c:extLst>
          </c:dPt>
          <c:dPt>
            <c:idx val="374"/>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2ED-A29B-43E0-9F70-D639BDBA62D6}"/>
              </c:ext>
            </c:extLst>
          </c:dPt>
          <c:dPt>
            <c:idx val="375"/>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2EF-A29B-43E0-9F70-D639BDBA62D6}"/>
              </c:ext>
            </c:extLst>
          </c:dPt>
          <c:dPt>
            <c:idx val="376"/>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2F1-A29B-43E0-9F70-D639BDBA62D6}"/>
              </c:ext>
            </c:extLst>
          </c:dPt>
          <c:dPt>
            <c:idx val="377"/>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2F3-A29B-43E0-9F70-D639BDBA62D6}"/>
              </c:ext>
            </c:extLst>
          </c:dPt>
          <c:dPt>
            <c:idx val="378"/>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2F5-A29B-43E0-9F70-D639BDBA62D6}"/>
              </c:ext>
            </c:extLst>
          </c:dPt>
          <c:dPt>
            <c:idx val="379"/>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2F7-A29B-43E0-9F70-D639BDBA62D6}"/>
              </c:ext>
            </c:extLst>
          </c:dPt>
          <c:dPt>
            <c:idx val="380"/>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2F9-A29B-43E0-9F70-D639BDBA62D6}"/>
              </c:ext>
            </c:extLst>
          </c:dPt>
          <c:dPt>
            <c:idx val="38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2FB-A29B-43E0-9F70-D639BDBA62D6}"/>
              </c:ext>
            </c:extLst>
          </c:dPt>
          <c:dPt>
            <c:idx val="38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2FD-A29B-43E0-9F70-D639BDBA62D6}"/>
              </c:ext>
            </c:extLst>
          </c:dPt>
          <c:dPt>
            <c:idx val="383"/>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2FF-A29B-43E0-9F70-D639BDBA62D6}"/>
              </c:ext>
            </c:extLst>
          </c:dPt>
          <c:dPt>
            <c:idx val="384"/>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301-A29B-43E0-9F70-D639BDBA62D6}"/>
              </c:ext>
            </c:extLst>
          </c:dPt>
          <c:dPt>
            <c:idx val="385"/>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303-A29B-43E0-9F70-D639BDBA62D6}"/>
              </c:ext>
            </c:extLst>
          </c:dPt>
          <c:dPt>
            <c:idx val="386"/>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305-A29B-43E0-9F70-D639BDBA62D6}"/>
              </c:ext>
            </c:extLst>
          </c:dPt>
          <c:dPt>
            <c:idx val="387"/>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307-A29B-43E0-9F70-D639BDBA62D6}"/>
              </c:ext>
            </c:extLst>
          </c:dPt>
          <c:dPt>
            <c:idx val="388"/>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309-A29B-43E0-9F70-D639BDBA62D6}"/>
              </c:ext>
            </c:extLst>
          </c:dPt>
          <c:dPt>
            <c:idx val="389"/>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30B-A29B-43E0-9F70-D639BDBA62D6}"/>
              </c:ext>
            </c:extLst>
          </c:dPt>
          <c:dPt>
            <c:idx val="390"/>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30D-A29B-43E0-9F70-D639BDBA62D6}"/>
              </c:ext>
            </c:extLst>
          </c:dPt>
          <c:dPt>
            <c:idx val="391"/>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30F-A29B-43E0-9F70-D639BDBA62D6}"/>
              </c:ext>
            </c:extLst>
          </c:dPt>
          <c:dPt>
            <c:idx val="392"/>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311-A29B-43E0-9F70-D639BDBA62D6}"/>
              </c:ext>
            </c:extLst>
          </c:dPt>
          <c:dPt>
            <c:idx val="393"/>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313-A29B-43E0-9F70-D639BDBA62D6}"/>
              </c:ext>
            </c:extLst>
          </c:dPt>
          <c:dPt>
            <c:idx val="394"/>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315-A29B-43E0-9F70-D639BDBA62D6}"/>
              </c:ext>
            </c:extLst>
          </c:dPt>
          <c:dPt>
            <c:idx val="395"/>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317-A29B-43E0-9F70-D639BDBA62D6}"/>
              </c:ext>
            </c:extLst>
          </c:dPt>
          <c:dPt>
            <c:idx val="396"/>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319-A29B-43E0-9F70-D639BDBA62D6}"/>
              </c:ext>
            </c:extLst>
          </c:dPt>
          <c:dPt>
            <c:idx val="397"/>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31B-A29B-43E0-9F70-D639BDBA62D6}"/>
              </c:ext>
            </c:extLst>
          </c:dPt>
          <c:dPt>
            <c:idx val="398"/>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31D-A29B-43E0-9F70-D639BDBA62D6}"/>
              </c:ext>
            </c:extLst>
          </c:dPt>
          <c:dPt>
            <c:idx val="399"/>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31F-A29B-43E0-9F70-D639BDBA62D6}"/>
              </c:ext>
            </c:extLst>
          </c:dPt>
          <c:dPt>
            <c:idx val="400"/>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321-A29B-43E0-9F70-D639BDBA62D6}"/>
              </c:ext>
            </c:extLst>
          </c:dPt>
          <c:dPt>
            <c:idx val="401"/>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323-A29B-43E0-9F70-D639BDBA62D6}"/>
              </c:ext>
            </c:extLst>
          </c:dPt>
          <c:dPt>
            <c:idx val="402"/>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325-A29B-43E0-9F70-D639BDBA62D6}"/>
              </c:ext>
            </c:extLst>
          </c:dPt>
          <c:dPt>
            <c:idx val="403"/>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327-A29B-43E0-9F70-D639BDBA62D6}"/>
              </c:ext>
            </c:extLst>
          </c:dPt>
          <c:dPt>
            <c:idx val="404"/>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329-A29B-43E0-9F70-D639BDBA62D6}"/>
              </c:ext>
            </c:extLst>
          </c:dPt>
          <c:dPt>
            <c:idx val="405"/>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32B-A29B-43E0-9F70-D639BDBA62D6}"/>
              </c:ext>
            </c:extLst>
          </c:dPt>
          <c:dPt>
            <c:idx val="406"/>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32D-A29B-43E0-9F70-D639BDBA62D6}"/>
              </c:ext>
            </c:extLst>
          </c:dPt>
          <c:dPt>
            <c:idx val="407"/>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32F-A29B-43E0-9F70-D639BDBA62D6}"/>
              </c:ext>
            </c:extLst>
          </c:dPt>
          <c:dPt>
            <c:idx val="408"/>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331-A29B-43E0-9F70-D639BDBA62D6}"/>
              </c:ext>
            </c:extLst>
          </c:dPt>
          <c:dPt>
            <c:idx val="409"/>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333-A29B-43E0-9F70-D639BDBA62D6}"/>
              </c:ext>
            </c:extLst>
          </c:dPt>
          <c:dPt>
            <c:idx val="410"/>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335-A29B-43E0-9F70-D639BDBA62D6}"/>
              </c:ext>
            </c:extLst>
          </c:dPt>
          <c:dPt>
            <c:idx val="411"/>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337-A29B-43E0-9F70-D639BDBA62D6}"/>
              </c:ext>
            </c:extLst>
          </c:dPt>
          <c:dPt>
            <c:idx val="412"/>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339-A29B-43E0-9F70-D639BDBA62D6}"/>
              </c:ext>
            </c:extLst>
          </c:dPt>
          <c:dPt>
            <c:idx val="413"/>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33B-A29B-43E0-9F70-D639BDBA62D6}"/>
              </c:ext>
            </c:extLst>
          </c:dPt>
          <c:dPt>
            <c:idx val="414"/>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33D-A29B-43E0-9F70-D639BDBA62D6}"/>
              </c:ext>
            </c:extLst>
          </c:dPt>
          <c:dPt>
            <c:idx val="415"/>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33F-A29B-43E0-9F70-D639BDBA62D6}"/>
              </c:ext>
            </c:extLst>
          </c:dPt>
          <c:dPt>
            <c:idx val="416"/>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341-A29B-43E0-9F70-D639BDBA62D6}"/>
              </c:ext>
            </c:extLst>
          </c:dPt>
          <c:dPt>
            <c:idx val="417"/>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343-A29B-43E0-9F70-D639BDBA62D6}"/>
              </c:ext>
            </c:extLst>
          </c:dPt>
          <c:dPt>
            <c:idx val="418"/>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345-A29B-43E0-9F70-D639BDBA62D6}"/>
              </c:ext>
            </c:extLst>
          </c:dPt>
          <c:dPt>
            <c:idx val="419"/>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347-A29B-43E0-9F70-D639BDBA62D6}"/>
              </c:ext>
            </c:extLst>
          </c:dPt>
          <c:dPt>
            <c:idx val="420"/>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349-A29B-43E0-9F70-D639BDBA62D6}"/>
              </c:ext>
            </c:extLst>
          </c:dPt>
          <c:dPt>
            <c:idx val="421"/>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34B-A29B-43E0-9F70-D639BDBA62D6}"/>
              </c:ext>
            </c:extLst>
          </c:dPt>
          <c:dPt>
            <c:idx val="422"/>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34D-A29B-43E0-9F70-D639BDBA62D6}"/>
              </c:ext>
            </c:extLst>
          </c:dPt>
          <c:dPt>
            <c:idx val="423"/>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34F-A29B-43E0-9F70-D639BDBA62D6}"/>
              </c:ext>
            </c:extLst>
          </c:dPt>
          <c:dPt>
            <c:idx val="424"/>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351-A29B-43E0-9F70-D639BDBA62D6}"/>
              </c:ext>
            </c:extLst>
          </c:dPt>
          <c:dPt>
            <c:idx val="425"/>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353-A29B-43E0-9F70-D639BDBA62D6}"/>
              </c:ext>
            </c:extLst>
          </c:dPt>
          <c:dPt>
            <c:idx val="426"/>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355-A29B-43E0-9F70-D639BDBA62D6}"/>
              </c:ext>
            </c:extLst>
          </c:dPt>
          <c:dPt>
            <c:idx val="427"/>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357-A29B-43E0-9F70-D639BDBA62D6}"/>
              </c:ext>
            </c:extLst>
          </c:dPt>
          <c:dPt>
            <c:idx val="428"/>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359-A29B-43E0-9F70-D639BDBA62D6}"/>
              </c:ext>
            </c:extLst>
          </c:dPt>
          <c:dPt>
            <c:idx val="429"/>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35B-A29B-43E0-9F70-D639BDBA62D6}"/>
              </c:ext>
            </c:extLst>
          </c:dPt>
          <c:dPt>
            <c:idx val="430"/>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35D-A29B-43E0-9F70-D639BDBA62D6}"/>
              </c:ext>
            </c:extLst>
          </c:dPt>
          <c:dPt>
            <c:idx val="431"/>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35F-A29B-43E0-9F70-D639BDBA62D6}"/>
              </c:ext>
            </c:extLst>
          </c:dPt>
          <c:dPt>
            <c:idx val="432"/>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361-A29B-43E0-9F70-D639BDBA62D6}"/>
              </c:ext>
            </c:extLst>
          </c:dPt>
          <c:dPt>
            <c:idx val="433"/>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363-A29B-43E0-9F70-D639BDBA62D6}"/>
              </c:ext>
            </c:extLst>
          </c:dPt>
          <c:dPt>
            <c:idx val="434"/>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365-A29B-43E0-9F70-D639BDBA62D6}"/>
              </c:ext>
            </c:extLst>
          </c:dPt>
          <c:dPt>
            <c:idx val="435"/>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367-A29B-43E0-9F70-D639BDBA62D6}"/>
              </c:ext>
            </c:extLst>
          </c:dPt>
          <c:dPt>
            <c:idx val="436"/>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369-A29B-43E0-9F70-D639BDBA62D6}"/>
              </c:ext>
            </c:extLst>
          </c:dPt>
          <c:dPt>
            <c:idx val="437"/>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36B-A29B-43E0-9F70-D639BDBA62D6}"/>
              </c:ext>
            </c:extLst>
          </c:dPt>
          <c:dPt>
            <c:idx val="438"/>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36D-A29B-43E0-9F70-D639BDBA62D6}"/>
              </c:ext>
            </c:extLst>
          </c:dPt>
          <c:dPt>
            <c:idx val="439"/>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36F-A29B-43E0-9F70-D639BDBA62D6}"/>
              </c:ext>
            </c:extLst>
          </c:dPt>
          <c:dPt>
            <c:idx val="440"/>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371-A29B-43E0-9F70-D639BDBA62D6}"/>
              </c:ext>
            </c:extLst>
          </c:dPt>
          <c:dPt>
            <c:idx val="441"/>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373-A29B-43E0-9F70-D639BDBA62D6}"/>
              </c:ext>
            </c:extLst>
          </c:dPt>
          <c:dPt>
            <c:idx val="442"/>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375-A29B-43E0-9F70-D639BDBA62D6}"/>
              </c:ext>
            </c:extLst>
          </c:dPt>
          <c:dPt>
            <c:idx val="44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377-A29B-43E0-9F70-D639BDBA62D6}"/>
              </c:ext>
            </c:extLst>
          </c:dPt>
          <c:dPt>
            <c:idx val="444"/>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379-A29B-43E0-9F70-D639BDBA62D6}"/>
              </c:ext>
            </c:extLst>
          </c:dPt>
          <c:dPt>
            <c:idx val="445"/>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37B-A29B-43E0-9F70-D639BDBA62D6}"/>
              </c:ext>
            </c:extLst>
          </c:dPt>
          <c:dPt>
            <c:idx val="446"/>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37D-A29B-43E0-9F70-D639BDBA62D6}"/>
              </c:ext>
            </c:extLst>
          </c:dPt>
          <c:dPt>
            <c:idx val="447"/>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37F-A29B-43E0-9F70-D639BDBA62D6}"/>
              </c:ext>
            </c:extLst>
          </c:dPt>
          <c:dPt>
            <c:idx val="448"/>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381-A29B-43E0-9F70-D639BDBA62D6}"/>
              </c:ext>
            </c:extLst>
          </c:dPt>
          <c:dPt>
            <c:idx val="449"/>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383-A29B-43E0-9F70-D639BDBA62D6}"/>
              </c:ext>
            </c:extLst>
          </c:dPt>
          <c:dPt>
            <c:idx val="450"/>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385-A29B-43E0-9F70-D639BDBA62D6}"/>
              </c:ext>
            </c:extLst>
          </c:dPt>
          <c:dPt>
            <c:idx val="451"/>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387-A29B-43E0-9F70-D639BDBA62D6}"/>
              </c:ext>
            </c:extLst>
          </c:dPt>
          <c:dPt>
            <c:idx val="452"/>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389-A29B-43E0-9F70-D639BDBA62D6}"/>
              </c:ext>
            </c:extLst>
          </c:dPt>
          <c:dPt>
            <c:idx val="453"/>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38B-A29B-43E0-9F70-D639BDBA62D6}"/>
              </c:ext>
            </c:extLst>
          </c:dPt>
          <c:dPt>
            <c:idx val="454"/>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38D-A29B-43E0-9F70-D639BDBA62D6}"/>
              </c:ext>
            </c:extLst>
          </c:dPt>
          <c:dPt>
            <c:idx val="455"/>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38F-A29B-43E0-9F70-D639BDBA62D6}"/>
              </c:ext>
            </c:extLst>
          </c:dPt>
          <c:dPt>
            <c:idx val="456"/>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391-A29B-43E0-9F70-D639BDBA62D6}"/>
              </c:ext>
            </c:extLst>
          </c:dPt>
          <c:dPt>
            <c:idx val="457"/>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393-A29B-43E0-9F70-D639BDBA62D6}"/>
              </c:ext>
            </c:extLst>
          </c:dPt>
          <c:dPt>
            <c:idx val="458"/>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395-A29B-43E0-9F70-D639BDBA62D6}"/>
              </c:ext>
            </c:extLst>
          </c:dPt>
          <c:dPt>
            <c:idx val="459"/>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397-A29B-43E0-9F70-D639BDBA62D6}"/>
              </c:ext>
            </c:extLst>
          </c:dPt>
          <c:dPt>
            <c:idx val="460"/>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399-A29B-43E0-9F70-D639BDBA62D6}"/>
              </c:ext>
            </c:extLst>
          </c:dPt>
          <c:dPt>
            <c:idx val="461"/>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39B-A29B-43E0-9F70-D639BDBA62D6}"/>
              </c:ext>
            </c:extLst>
          </c:dPt>
          <c:dPt>
            <c:idx val="462"/>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39D-A29B-43E0-9F70-D639BDBA62D6}"/>
              </c:ext>
            </c:extLst>
          </c:dPt>
          <c:dPt>
            <c:idx val="463"/>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39F-A29B-43E0-9F70-D639BDBA62D6}"/>
              </c:ext>
            </c:extLst>
          </c:dPt>
          <c:dPt>
            <c:idx val="464"/>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3A1-A29B-43E0-9F70-D639BDBA62D6}"/>
              </c:ext>
            </c:extLst>
          </c:dPt>
          <c:dPt>
            <c:idx val="465"/>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3A3-A29B-43E0-9F70-D639BDBA62D6}"/>
              </c:ext>
            </c:extLst>
          </c:dPt>
          <c:dPt>
            <c:idx val="466"/>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3A5-A29B-43E0-9F70-D639BDBA62D6}"/>
              </c:ext>
            </c:extLst>
          </c:dPt>
          <c:dPt>
            <c:idx val="467"/>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3A7-A29B-43E0-9F70-D639BDBA62D6}"/>
              </c:ext>
            </c:extLst>
          </c:dPt>
          <c:dPt>
            <c:idx val="468"/>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3A9-A29B-43E0-9F70-D639BDBA62D6}"/>
              </c:ext>
            </c:extLst>
          </c:dPt>
          <c:dPt>
            <c:idx val="469"/>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3AB-A29B-43E0-9F70-D639BDBA62D6}"/>
              </c:ext>
            </c:extLst>
          </c:dPt>
          <c:dPt>
            <c:idx val="470"/>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3AD-A29B-43E0-9F70-D639BDBA62D6}"/>
              </c:ext>
            </c:extLst>
          </c:dPt>
          <c:dPt>
            <c:idx val="471"/>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3AF-A29B-43E0-9F70-D639BDBA62D6}"/>
              </c:ext>
            </c:extLst>
          </c:dPt>
          <c:dPt>
            <c:idx val="472"/>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3B1-A29B-43E0-9F70-D639BDBA62D6}"/>
              </c:ext>
            </c:extLst>
          </c:dPt>
          <c:dPt>
            <c:idx val="473"/>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3B3-A29B-43E0-9F70-D639BDBA62D6}"/>
              </c:ext>
            </c:extLst>
          </c:dPt>
          <c:dPt>
            <c:idx val="474"/>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3B5-A29B-43E0-9F70-D639BDBA62D6}"/>
              </c:ext>
            </c:extLst>
          </c:dPt>
          <c:dPt>
            <c:idx val="475"/>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3B7-A29B-43E0-9F70-D639BDBA62D6}"/>
              </c:ext>
            </c:extLst>
          </c:dPt>
          <c:dPt>
            <c:idx val="476"/>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3B9-A29B-43E0-9F70-D639BDBA62D6}"/>
              </c:ext>
            </c:extLst>
          </c:dPt>
          <c:dPt>
            <c:idx val="477"/>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3BB-A29B-43E0-9F70-D639BDBA62D6}"/>
              </c:ext>
            </c:extLst>
          </c:dPt>
          <c:dPt>
            <c:idx val="478"/>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3BD-A29B-43E0-9F70-D639BDBA62D6}"/>
              </c:ext>
            </c:extLst>
          </c:dPt>
          <c:dPt>
            <c:idx val="479"/>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3BF-A29B-43E0-9F70-D639BDBA62D6}"/>
              </c:ext>
            </c:extLst>
          </c:dPt>
          <c:dPt>
            <c:idx val="480"/>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3C1-A29B-43E0-9F70-D639BDBA62D6}"/>
              </c:ext>
            </c:extLst>
          </c:dPt>
          <c:dPt>
            <c:idx val="481"/>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3C3-A29B-43E0-9F70-D639BDBA62D6}"/>
              </c:ext>
            </c:extLst>
          </c:dPt>
          <c:dPt>
            <c:idx val="482"/>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3C5-A29B-43E0-9F70-D639BDBA62D6}"/>
              </c:ext>
            </c:extLst>
          </c:dPt>
          <c:dPt>
            <c:idx val="483"/>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3C7-A29B-43E0-9F70-D639BDBA62D6}"/>
              </c:ext>
            </c:extLst>
          </c:dPt>
          <c:dPt>
            <c:idx val="484"/>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3C9-A29B-43E0-9F70-D639BDBA62D6}"/>
              </c:ext>
            </c:extLst>
          </c:dPt>
          <c:dPt>
            <c:idx val="485"/>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3CB-A29B-43E0-9F70-D639BDBA62D6}"/>
              </c:ext>
            </c:extLst>
          </c:dPt>
          <c:dPt>
            <c:idx val="486"/>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3CD-A29B-43E0-9F70-D639BDBA62D6}"/>
              </c:ext>
            </c:extLst>
          </c:dPt>
          <c:dPt>
            <c:idx val="487"/>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3CF-A29B-43E0-9F70-D639BDBA62D6}"/>
              </c:ext>
            </c:extLst>
          </c:dPt>
          <c:dPt>
            <c:idx val="488"/>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3D1-A29B-43E0-9F70-D639BDBA62D6}"/>
              </c:ext>
            </c:extLst>
          </c:dPt>
          <c:dPt>
            <c:idx val="489"/>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3D3-A29B-43E0-9F70-D639BDBA62D6}"/>
              </c:ext>
            </c:extLst>
          </c:dPt>
          <c:dPt>
            <c:idx val="490"/>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3D5-A29B-43E0-9F70-D639BDBA62D6}"/>
              </c:ext>
            </c:extLst>
          </c:dPt>
          <c:dPt>
            <c:idx val="491"/>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3D7-A29B-43E0-9F70-D639BDBA62D6}"/>
              </c:ext>
            </c:extLst>
          </c:dPt>
          <c:dPt>
            <c:idx val="492"/>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3D9-A29B-43E0-9F70-D639BDBA62D6}"/>
              </c:ext>
            </c:extLst>
          </c:dPt>
          <c:dPt>
            <c:idx val="493"/>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3DB-A29B-43E0-9F70-D639BDBA62D6}"/>
              </c:ext>
            </c:extLst>
          </c:dPt>
          <c:dPt>
            <c:idx val="494"/>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3DD-A29B-43E0-9F70-D639BDBA62D6}"/>
              </c:ext>
            </c:extLst>
          </c:dPt>
          <c:dPt>
            <c:idx val="495"/>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3DF-A29B-43E0-9F70-D639BDBA62D6}"/>
              </c:ext>
            </c:extLst>
          </c:dPt>
          <c:dPt>
            <c:idx val="496"/>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3E1-A29B-43E0-9F70-D639BDBA62D6}"/>
              </c:ext>
            </c:extLst>
          </c:dPt>
          <c:dPt>
            <c:idx val="497"/>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3E3-A29B-43E0-9F70-D639BDBA62D6}"/>
              </c:ext>
            </c:extLst>
          </c:dPt>
          <c:dPt>
            <c:idx val="498"/>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3E5-A29B-43E0-9F70-D639BDBA62D6}"/>
              </c:ext>
            </c:extLst>
          </c:dPt>
          <c:dPt>
            <c:idx val="499"/>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3E7-A29B-43E0-9F70-D639BDBA62D6}"/>
              </c:ext>
            </c:extLst>
          </c:dPt>
          <c:dPt>
            <c:idx val="500"/>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3E9-A29B-43E0-9F70-D639BDBA62D6}"/>
              </c:ext>
            </c:extLst>
          </c:dPt>
          <c:dPt>
            <c:idx val="501"/>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3EB-A29B-43E0-9F70-D639BDBA62D6}"/>
              </c:ext>
            </c:extLst>
          </c:dPt>
          <c:dPt>
            <c:idx val="502"/>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3ED-A29B-43E0-9F70-D639BDBA62D6}"/>
              </c:ext>
            </c:extLst>
          </c:dPt>
          <c:dPt>
            <c:idx val="503"/>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3EF-A29B-43E0-9F70-D639BDBA62D6}"/>
              </c:ext>
            </c:extLst>
          </c:dPt>
          <c:dPt>
            <c:idx val="504"/>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3F1-A29B-43E0-9F70-D639BDBA62D6}"/>
              </c:ext>
            </c:extLst>
          </c:dPt>
          <c:dPt>
            <c:idx val="505"/>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3F3-A29B-43E0-9F70-D639BDBA62D6}"/>
              </c:ext>
            </c:extLst>
          </c:dPt>
          <c:dPt>
            <c:idx val="506"/>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3F5-A29B-43E0-9F70-D639BDBA62D6}"/>
              </c:ext>
            </c:extLst>
          </c:dPt>
          <c:dPt>
            <c:idx val="507"/>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3F7-A29B-43E0-9F70-D639BDBA62D6}"/>
              </c:ext>
            </c:extLst>
          </c:dPt>
          <c:dPt>
            <c:idx val="508"/>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3F9-A29B-43E0-9F70-D639BDBA62D6}"/>
              </c:ext>
            </c:extLst>
          </c:dPt>
          <c:dPt>
            <c:idx val="509"/>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3FB-A29B-43E0-9F70-D639BDBA62D6}"/>
              </c:ext>
            </c:extLst>
          </c:dPt>
          <c:dPt>
            <c:idx val="510"/>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3FD-A29B-43E0-9F70-D639BDBA62D6}"/>
              </c:ext>
            </c:extLst>
          </c:dPt>
          <c:dPt>
            <c:idx val="511"/>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3FF-A29B-43E0-9F70-D639BDBA62D6}"/>
              </c:ext>
            </c:extLst>
          </c:dPt>
          <c:dPt>
            <c:idx val="512"/>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401-A29B-43E0-9F70-D639BDBA62D6}"/>
              </c:ext>
            </c:extLst>
          </c:dPt>
          <c:dPt>
            <c:idx val="513"/>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403-A29B-43E0-9F70-D639BDBA62D6}"/>
              </c:ext>
            </c:extLst>
          </c:dPt>
          <c:dPt>
            <c:idx val="514"/>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405-A29B-43E0-9F70-D639BDBA62D6}"/>
              </c:ext>
            </c:extLst>
          </c:dPt>
          <c:dPt>
            <c:idx val="515"/>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407-A29B-43E0-9F70-D639BDBA62D6}"/>
              </c:ext>
            </c:extLst>
          </c:dPt>
          <c:dPt>
            <c:idx val="516"/>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409-A29B-43E0-9F70-D639BDBA62D6}"/>
              </c:ext>
            </c:extLst>
          </c:dPt>
          <c:dPt>
            <c:idx val="517"/>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40B-A29B-43E0-9F70-D639BDBA62D6}"/>
              </c:ext>
            </c:extLst>
          </c:dPt>
          <c:dPt>
            <c:idx val="518"/>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40D-A29B-43E0-9F70-D639BDBA62D6}"/>
              </c:ext>
            </c:extLst>
          </c:dPt>
          <c:dPt>
            <c:idx val="519"/>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40F-A29B-43E0-9F70-D639BDBA62D6}"/>
              </c:ext>
            </c:extLst>
          </c:dPt>
          <c:dPt>
            <c:idx val="520"/>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411-A29B-43E0-9F70-D639BDBA62D6}"/>
              </c:ext>
            </c:extLst>
          </c:dPt>
          <c:dPt>
            <c:idx val="521"/>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413-A29B-43E0-9F70-D639BDBA62D6}"/>
              </c:ext>
            </c:extLst>
          </c:dPt>
          <c:dPt>
            <c:idx val="522"/>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415-A29B-43E0-9F70-D639BDBA62D6}"/>
              </c:ext>
            </c:extLst>
          </c:dPt>
          <c:dPt>
            <c:idx val="523"/>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417-A29B-43E0-9F70-D639BDBA62D6}"/>
              </c:ext>
            </c:extLst>
          </c:dPt>
          <c:dPt>
            <c:idx val="524"/>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419-A29B-43E0-9F70-D639BDBA62D6}"/>
              </c:ext>
            </c:extLst>
          </c:dPt>
          <c:dPt>
            <c:idx val="525"/>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41B-A29B-43E0-9F70-D639BDBA62D6}"/>
              </c:ext>
            </c:extLst>
          </c:dPt>
          <c:dPt>
            <c:idx val="526"/>
            <c:bubble3D val="0"/>
            <c:spPr>
              <a:pattFill prst="ltUpDiag">
                <a:fgClr>
                  <a:schemeClr val="accent5">
                    <a:lumMod val="70000"/>
                    <a:lumOff val="30000"/>
                  </a:schemeClr>
                </a:fgClr>
                <a:bgClr>
                  <a:schemeClr val="accent5">
                    <a:lumMod val="70000"/>
                    <a:lumOff val="30000"/>
                    <a:lumMod val="20000"/>
                    <a:lumOff val="80000"/>
                  </a:schemeClr>
                </a:bgClr>
              </a:pattFill>
              <a:ln w="19050">
                <a:solidFill>
                  <a:schemeClr val="lt1"/>
                </a:solidFill>
              </a:ln>
              <a:effectLst>
                <a:innerShdw blurRad="114300">
                  <a:schemeClr val="accent5">
                    <a:lumMod val="70000"/>
                    <a:lumOff val="30000"/>
                  </a:schemeClr>
                </a:innerShdw>
              </a:effectLst>
            </c:spPr>
            <c:extLst>
              <c:ext xmlns:c16="http://schemas.microsoft.com/office/drawing/2014/chart" uri="{C3380CC4-5D6E-409C-BE32-E72D297353CC}">
                <c16:uniqueId val="{0000041D-A29B-43E0-9F70-D639BDBA62D6}"/>
              </c:ext>
            </c:extLst>
          </c:dPt>
          <c:dPt>
            <c:idx val="527"/>
            <c:bubble3D val="0"/>
            <c:spPr>
              <a:pattFill prst="ltUpDiag">
                <a:fgClr>
                  <a:schemeClr val="accent6">
                    <a:lumMod val="70000"/>
                    <a:lumOff val="30000"/>
                  </a:schemeClr>
                </a:fgClr>
                <a:bgClr>
                  <a:schemeClr val="accent6">
                    <a:lumMod val="70000"/>
                    <a:lumOff val="30000"/>
                    <a:lumMod val="20000"/>
                    <a:lumOff val="80000"/>
                  </a:schemeClr>
                </a:bgClr>
              </a:pattFill>
              <a:ln w="19050">
                <a:solidFill>
                  <a:schemeClr val="lt1"/>
                </a:solidFill>
              </a:ln>
              <a:effectLst>
                <a:innerShdw blurRad="114300">
                  <a:schemeClr val="accent6">
                    <a:lumMod val="70000"/>
                    <a:lumOff val="30000"/>
                  </a:schemeClr>
                </a:innerShdw>
              </a:effectLst>
            </c:spPr>
            <c:extLst>
              <c:ext xmlns:c16="http://schemas.microsoft.com/office/drawing/2014/chart" uri="{C3380CC4-5D6E-409C-BE32-E72D297353CC}">
                <c16:uniqueId val="{0000041F-A29B-43E0-9F70-D639BDBA62D6}"/>
              </c:ext>
            </c:extLst>
          </c:dPt>
          <c:dPt>
            <c:idx val="528"/>
            <c:bubble3D val="0"/>
            <c:spPr>
              <a:pattFill prst="ltUpDiag">
                <a:fgClr>
                  <a:schemeClr val="accent1">
                    <a:lumMod val="70000"/>
                  </a:schemeClr>
                </a:fgClr>
                <a:bgClr>
                  <a:schemeClr val="accent1">
                    <a:lumMod val="70000"/>
                    <a:lumMod val="20000"/>
                    <a:lumOff val="80000"/>
                  </a:schemeClr>
                </a:bgClr>
              </a:pattFill>
              <a:ln w="19050">
                <a:solidFill>
                  <a:schemeClr val="lt1"/>
                </a:solidFill>
              </a:ln>
              <a:effectLst>
                <a:innerShdw blurRad="114300">
                  <a:schemeClr val="accent1">
                    <a:lumMod val="70000"/>
                  </a:schemeClr>
                </a:innerShdw>
              </a:effectLst>
            </c:spPr>
            <c:extLst>
              <c:ext xmlns:c16="http://schemas.microsoft.com/office/drawing/2014/chart" uri="{C3380CC4-5D6E-409C-BE32-E72D297353CC}">
                <c16:uniqueId val="{00000421-A29B-43E0-9F70-D639BDBA62D6}"/>
              </c:ext>
            </c:extLst>
          </c:dPt>
          <c:dPt>
            <c:idx val="529"/>
            <c:bubble3D val="0"/>
            <c:spPr>
              <a:pattFill prst="ltUpDiag">
                <a:fgClr>
                  <a:schemeClr val="accent2">
                    <a:lumMod val="70000"/>
                  </a:schemeClr>
                </a:fgClr>
                <a:bgClr>
                  <a:schemeClr val="accent2">
                    <a:lumMod val="70000"/>
                    <a:lumMod val="20000"/>
                    <a:lumOff val="80000"/>
                  </a:schemeClr>
                </a:bgClr>
              </a:pattFill>
              <a:ln w="19050">
                <a:solidFill>
                  <a:schemeClr val="lt1"/>
                </a:solidFill>
              </a:ln>
              <a:effectLst>
                <a:innerShdw blurRad="114300">
                  <a:schemeClr val="accent2">
                    <a:lumMod val="70000"/>
                  </a:schemeClr>
                </a:innerShdw>
              </a:effectLst>
            </c:spPr>
            <c:extLst>
              <c:ext xmlns:c16="http://schemas.microsoft.com/office/drawing/2014/chart" uri="{C3380CC4-5D6E-409C-BE32-E72D297353CC}">
                <c16:uniqueId val="{00000423-A29B-43E0-9F70-D639BDBA62D6}"/>
              </c:ext>
            </c:extLst>
          </c:dPt>
          <c:dPt>
            <c:idx val="530"/>
            <c:bubble3D val="0"/>
            <c:spPr>
              <a:pattFill prst="ltUpDiag">
                <a:fgClr>
                  <a:schemeClr val="accent3">
                    <a:lumMod val="70000"/>
                  </a:schemeClr>
                </a:fgClr>
                <a:bgClr>
                  <a:schemeClr val="accent3">
                    <a:lumMod val="70000"/>
                    <a:lumMod val="20000"/>
                    <a:lumOff val="80000"/>
                  </a:schemeClr>
                </a:bgClr>
              </a:pattFill>
              <a:ln w="19050">
                <a:solidFill>
                  <a:schemeClr val="lt1"/>
                </a:solidFill>
              </a:ln>
              <a:effectLst>
                <a:innerShdw blurRad="114300">
                  <a:schemeClr val="accent3">
                    <a:lumMod val="70000"/>
                  </a:schemeClr>
                </a:innerShdw>
              </a:effectLst>
            </c:spPr>
            <c:extLst>
              <c:ext xmlns:c16="http://schemas.microsoft.com/office/drawing/2014/chart" uri="{C3380CC4-5D6E-409C-BE32-E72D297353CC}">
                <c16:uniqueId val="{00000425-A29B-43E0-9F70-D639BDBA62D6}"/>
              </c:ext>
            </c:extLst>
          </c:dPt>
          <c:dPt>
            <c:idx val="531"/>
            <c:bubble3D val="0"/>
            <c:spPr>
              <a:pattFill prst="ltUpDiag">
                <a:fgClr>
                  <a:schemeClr val="accent4">
                    <a:lumMod val="70000"/>
                  </a:schemeClr>
                </a:fgClr>
                <a:bgClr>
                  <a:schemeClr val="accent4">
                    <a:lumMod val="70000"/>
                    <a:lumMod val="20000"/>
                    <a:lumOff val="80000"/>
                  </a:schemeClr>
                </a:bgClr>
              </a:pattFill>
              <a:ln w="19050">
                <a:solidFill>
                  <a:schemeClr val="lt1"/>
                </a:solidFill>
              </a:ln>
              <a:effectLst>
                <a:innerShdw blurRad="114300">
                  <a:schemeClr val="accent4">
                    <a:lumMod val="70000"/>
                  </a:schemeClr>
                </a:innerShdw>
              </a:effectLst>
            </c:spPr>
            <c:extLst>
              <c:ext xmlns:c16="http://schemas.microsoft.com/office/drawing/2014/chart" uri="{C3380CC4-5D6E-409C-BE32-E72D297353CC}">
                <c16:uniqueId val="{00000427-A29B-43E0-9F70-D639BDBA62D6}"/>
              </c:ext>
            </c:extLst>
          </c:dPt>
          <c:dPt>
            <c:idx val="532"/>
            <c:bubble3D val="0"/>
            <c:spPr>
              <a:pattFill prst="ltUpDiag">
                <a:fgClr>
                  <a:schemeClr val="accent5">
                    <a:lumMod val="70000"/>
                  </a:schemeClr>
                </a:fgClr>
                <a:bgClr>
                  <a:schemeClr val="accent5">
                    <a:lumMod val="70000"/>
                    <a:lumMod val="20000"/>
                    <a:lumOff val="80000"/>
                  </a:schemeClr>
                </a:bgClr>
              </a:pattFill>
              <a:ln w="19050">
                <a:solidFill>
                  <a:schemeClr val="lt1"/>
                </a:solidFill>
              </a:ln>
              <a:effectLst>
                <a:innerShdw blurRad="114300">
                  <a:schemeClr val="accent5">
                    <a:lumMod val="70000"/>
                  </a:schemeClr>
                </a:innerShdw>
              </a:effectLst>
            </c:spPr>
            <c:extLst>
              <c:ext xmlns:c16="http://schemas.microsoft.com/office/drawing/2014/chart" uri="{C3380CC4-5D6E-409C-BE32-E72D297353CC}">
                <c16:uniqueId val="{00000429-A29B-43E0-9F70-D639BDBA62D6}"/>
              </c:ext>
            </c:extLst>
          </c:dPt>
          <c:dPt>
            <c:idx val="533"/>
            <c:bubble3D val="0"/>
            <c:spPr>
              <a:pattFill prst="ltUpDiag">
                <a:fgClr>
                  <a:schemeClr val="accent6">
                    <a:lumMod val="70000"/>
                  </a:schemeClr>
                </a:fgClr>
                <a:bgClr>
                  <a:schemeClr val="accent6">
                    <a:lumMod val="70000"/>
                    <a:lumMod val="20000"/>
                    <a:lumOff val="80000"/>
                  </a:schemeClr>
                </a:bgClr>
              </a:pattFill>
              <a:ln w="19050">
                <a:solidFill>
                  <a:schemeClr val="lt1"/>
                </a:solidFill>
              </a:ln>
              <a:effectLst>
                <a:innerShdw blurRad="114300">
                  <a:schemeClr val="accent6">
                    <a:lumMod val="70000"/>
                  </a:schemeClr>
                </a:innerShdw>
              </a:effectLst>
            </c:spPr>
            <c:extLst>
              <c:ext xmlns:c16="http://schemas.microsoft.com/office/drawing/2014/chart" uri="{C3380CC4-5D6E-409C-BE32-E72D297353CC}">
                <c16:uniqueId val="{0000042B-A29B-43E0-9F70-D639BDBA62D6}"/>
              </c:ext>
            </c:extLst>
          </c:dPt>
          <c:dPt>
            <c:idx val="534"/>
            <c:bubble3D val="0"/>
            <c:spPr>
              <a:pattFill prst="ltUpDiag">
                <a:fgClr>
                  <a:schemeClr val="accent1">
                    <a:lumMod val="50000"/>
                    <a:lumOff val="50000"/>
                  </a:schemeClr>
                </a:fgClr>
                <a:bgClr>
                  <a:schemeClr val="accent1">
                    <a:lumMod val="50000"/>
                    <a:lumOff val="50000"/>
                    <a:lumMod val="20000"/>
                    <a:lumOff val="80000"/>
                  </a:schemeClr>
                </a:bgClr>
              </a:pattFill>
              <a:ln w="19050">
                <a:solidFill>
                  <a:schemeClr val="lt1"/>
                </a:solidFill>
              </a:ln>
              <a:effectLst>
                <a:innerShdw blurRad="114300">
                  <a:schemeClr val="accent1">
                    <a:lumMod val="50000"/>
                    <a:lumOff val="50000"/>
                  </a:schemeClr>
                </a:innerShdw>
              </a:effectLst>
            </c:spPr>
            <c:extLst>
              <c:ext xmlns:c16="http://schemas.microsoft.com/office/drawing/2014/chart" uri="{C3380CC4-5D6E-409C-BE32-E72D297353CC}">
                <c16:uniqueId val="{0000042D-A29B-43E0-9F70-D639BDBA62D6}"/>
              </c:ext>
            </c:extLst>
          </c:dPt>
          <c:dPt>
            <c:idx val="535"/>
            <c:bubble3D val="0"/>
            <c:spPr>
              <a:pattFill prst="ltUpDiag">
                <a:fgClr>
                  <a:schemeClr val="accent2">
                    <a:lumMod val="50000"/>
                    <a:lumOff val="50000"/>
                  </a:schemeClr>
                </a:fgClr>
                <a:bgClr>
                  <a:schemeClr val="accent2">
                    <a:lumMod val="50000"/>
                    <a:lumOff val="50000"/>
                    <a:lumMod val="20000"/>
                    <a:lumOff val="80000"/>
                  </a:schemeClr>
                </a:bgClr>
              </a:pattFill>
              <a:ln w="19050">
                <a:solidFill>
                  <a:schemeClr val="lt1"/>
                </a:solidFill>
              </a:ln>
              <a:effectLst>
                <a:innerShdw blurRad="114300">
                  <a:schemeClr val="accent2">
                    <a:lumMod val="50000"/>
                    <a:lumOff val="50000"/>
                  </a:schemeClr>
                </a:innerShdw>
              </a:effectLst>
            </c:spPr>
            <c:extLst>
              <c:ext xmlns:c16="http://schemas.microsoft.com/office/drawing/2014/chart" uri="{C3380CC4-5D6E-409C-BE32-E72D297353CC}">
                <c16:uniqueId val="{0000042F-A29B-43E0-9F70-D639BDBA62D6}"/>
              </c:ext>
            </c:extLst>
          </c:dPt>
          <c:dPt>
            <c:idx val="536"/>
            <c:bubble3D val="0"/>
            <c:spPr>
              <a:pattFill prst="ltUpDiag">
                <a:fgClr>
                  <a:schemeClr val="accent3">
                    <a:lumMod val="50000"/>
                    <a:lumOff val="50000"/>
                  </a:schemeClr>
                </a:fgClr>
                <a:bgClr>
                  <a:schemeClr val="accent3">
                    <a:lumMod val="50000"/>
                    <a:lumOff val="50000"/>
                    <a:lumMod val="20000"/>
                    <a:lumOff val="80000"/>
                  </a:schemeClr>
                </a:bgClr>
              </a:pattFill>
              <a:ln w="19050">
                <a:solidFill>
                  <a:schemeClr val="lt1"/>
                </a:solidFill>
              </a:ln>
              <a:effectLst>
                <a:innerShdw blurRad="114300">
                  <a:schemeClr val="accent3">
                    <a:lumMod val="50000"/>
                    <a:lumOff val="50000"/>
                  </a:schemeClr>
                </a:innerShdw>
              </a:effectLst>
            </c:spPr>
            <c:extLst>
              <c:ext xmlns:c16="http://schemas.microsoft.com/office/drawing/2014/chart" uri="{C3380CC4-5D6E-409C-BE32-E72D297353CC}">
                <c16:uniqueId val="{00000431-A29B-43E0-9F70-D639BDBA62D6}"/>
              </c:ext>
            </c:extLst>
          </c:dPt>
          <c:dPt>
            <c:idx val="537"/>
            <c:bubble3D val="0"/>
            <c:spPr>
              <a:pattFill prst="ltUpDiag">
                <a:fgClr>
                  <a:schemeClr val="accent4">
                    <a:lumMod val="50000"/>
                    <a:lumOff val="50000"/>
                  </a:schemeClr>
                </a:fgClr>
                <a:bgClr>
                  <a:schemeClr val="accent4">
                    <a:lumMod val="50000"/>
                    <a:lumOff val="50000"/>
                    <a:lumMod val="20000"/>
                    <a:lumOff val="80000"/>
                  </a:schemeClr>
                </a:bgClr>
              </a:pattFill>
              <a:ln w="19050">
                <a:solidFill>
                  <a:schemeClr val="lt1"/>
                </a:solidFill>
              </a:ln>
              <a:effectLst>
                <a:innerShdw blurRad="114300">
                  <a:schemeClr val="accent4">
                    <a:lumMod val="50000"/>
                    <a:lumOff val="50000"/>
                  </a:schemeClr>
                </a:innerShdw>
              </a:effectLst>
            </c:spPr>
            <c:extLst>
              <c:ext xmlns:c16="http://schemas.microsoft.com/office/drawing/2014/chart" uri="{C3380CC4-5D6E-409C-BE32-E72D297353CC}">
                <c16:uniqueId val="{00000433-A29B-43E0-9F70-D639BDBA62D6}"/>
              </c:ext>
            </c:extLst>
          </c:dPt>
          <c:dPt>
            <c:idx val="538"/>
            <c:bubble3D val="0"/>
            <c:spPr>
              <a:pattFill prst="ltUpDiag">
                <a:fgClr>
                  <a:schemeClr val="accent5">
                    <a:lumMod val="50000"/>
                    <a:lumOff val="50000"/>
                  </a:schemeClr>
                </a:fgClr>
                <a:bgClr>
                  <a:schemeClr val="accent5">
                    <a:lumMod val="50000"/>
                    <a:lumOff val="50000"/>
                    <a:lumMod val="20000"/>
                    <a:lumOff val="80000"/>
                  </a:schemeClr>
                </a:bgClr>
              </a:pattFill>
              <a:ln w="19050">
                <a:solidFill>
                  <a:schemeClr val="lt1"/>
                </a:solidFill>
              </a:ln>
              <a:effectLst>
                <a:innerShdw blurRad="114300">
                  <a:schemeClr val="accent5">
                    <a:lumMod val="50000"/>
                    <a:lumOff val="50000"/>
                  </a:schemeClr>
                </a:innerShdw>
              </a:effectLst>
            </c:spPr>
            <c:extLst>
              <c:ext xmlns:c16="http://schemas.microsoft.com/office/drawing/2014/chart" uri="{C3380CC4-5D6E-409C-BE32-E72D297353CC}">
                <c16:uniqueId val="{00000435-A29B-43E0-9F70-D639BDBA62D6}"/>
              </c:ext>
            </c:extLst>
          </c:dPt>
          <c:dPt>
            <c:idx val="539"/>
            <c:bubble3D val="0"/>
            <c:spPr>
              <a:pattFill prst="ltUpDiag">
                <a:fgClr>
                  <a:schemeClr val="accent6">
                    <a:lumMod val="50000"/>
                    <a:lumOff val="50000"/>
                  </a:schemeClr>
                </a:fgClr>
                <a:bgClr>
                  <a:schemeClr val="accent6">
                    <a:lumMod val="50000"/>
                    <a:lumOff val="50000"/>
                    <a:lumMod val="20000"/>
                    <a:lumOff val="80000"/>
                  </a:schemeClr>
                </a:bgClr>
              </a:pattFill>
              <a:ln w="19050">
                <a:solidFill>
                  <a:schemeClr val="lt1"/>
                </a:solidFill>
              </a:ln>
              <a:effectLst>
                <a:innerShdw blurRad="114300">
                  <a:schemeClr val="accent6">
                    <a:lumMod val="50000"/>
                    <a:lumOff val="50000"/>
                  </a:schemeClr>
                </a:innerShdw>
              </a:effectLst>
            </c:spPr>
            <c:extLst>
              <c:ext xmlns:c16="http://schemas.microsoft.com/office/drawing/2014/chart" uri="{C3380CC4-5D6E-409C-BE32-E72D297353CC}">
                <c16:uniqueId val="{00000437-A29B-43E0-9F70-D639BDBA62D6}"/>
              </c:ext>
            </c:extLst>
          </c:dPt>
          <c:dPt>
            <c:idx val="54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439-A29B-43E0-9F70-D639BDBA62D6}"/>
              </c:ext>
            </c:extLst>
          </c:dPt>
          <c:dPt>
            <c:idx val="54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43B-A29B-43E0-9F70-D639BDBA62D6}"/>
              </c:ext>
            </c:extLst>
          </c:dPt>
          <c:dPt>
            <c:idx val="54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43D-A29B-43E0-9F70-D639BDBA62D6}"/>
              </c:ext>
            </c:extLst>
          </c:dPt>
          <c:dPt>
            <c:idx val="54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43F-A29B-43E0-9F70-D639BDBA62D6}"/>
              </c:ext>
            </c:extLst>
          </c:dPt>
          <c:dPt>
            <c:idx val="54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441-A29B-43E0-9F70-D639BDBA62D6}"/>
              </c:ext>
            </c:extLst>
          </c:dPt>
          <c:dPt>
            <c:idx val="54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443-A29B-43E0-9F70-D639BDBA62D6}"/>
              </c:ext>
            </c:extLst>
          </c:dPt>
          <c:dPt>
            <c:idx val="54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445-A29B-43E0-9F70-D639BDBA62D6}"/>
              </c:ext>
            </c:extLst>
          </c:dPt>
          <c:dPt>
            <c:idx val="54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447-A29B-43E0-9F70-D639BDBA62D6}"/>
              </c:ext>
            </c:extLst>
          </c:dPt>
          <c:dPt>
            <c:idx val="54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449-A29B-43E0-9F70-D639BDBA62D6}"/>
              </c:ext>
            </c:extLst>
          </c:dPt>
          <c:dPt>
            <c:idx val="54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44B-A29B-43E0-9F70-D639BDBA62D6}"/>
              </c:ext>
            </c:extLst>
          </c:dPt>
          <c:dPt>
            <c:idx val="55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44D-A29B-43E0-9F70-D639BDBA62D6}"/>
              </c:ext>
            </c:extLst>
          </c:dPt>
          <c:dPt>
            <c:idx val="55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44F-A29B-43E0-9F70-D639BDBA62D6}"/>
              </c:ext>
            </c:extLst>
          </c:dPt>
          <c:cat>
            <c:strRef>
              <c:f>PivotTables!$A$48:$A$87</c:f>
              <c:strCache>
                <c:ptCount val="39"/>
                <c:pt idx="0">
                  <c:v>Cognowiz</c:v>
                </c:pt>
                <c:pt idx="1">
                  <c:v>Q2A Media Services Pvt Ltd</c:v>
                </c:pt>
                <c:pt idx="2">
                  <c:v>Amazon.com Services LLC</c:v>
                </c:pt>
                <c:pt idx="3">
                  <c:v>Tencent</c:v>
                </c:pt>
                <c:pt idx="4">
                  <c:v>PG&amp;E Corporation</c:v>
                </c:pt>
                <c:pt idx="5">
                  <c:v>JPMorgan Chase &amp; Co</c:v>
                </c:pt>
                <c:pt idx="6">
                  <c:v>Blue Cross and Blue Shield of North Carolina</c:v>
                </c:pt>
                <c:pt idx="7">
                  <c:v>Children's Health</c:v>
                </c:pt>
                <c:pt idx="8">
                  <c:v>Chirality Research</c:v>
                </c:pt>
                <c:pt idx="9">
                  <c:v>Zartico</c:v>
                </c:pt>
                <c:pt idx="10">
                  <c:v>Amazon Web Services, Inc.</c:v>
                </c:pt>
                <c:pt idx="11">
                  <c:v>Michaels Stores, Inc.</c:v>
                </c:pt>
                <c:pt idx="12">
                  <c:v>Cognowiz solutions LLC</c:v>
                </c:pt>
                <c:pt idx="13">
                  <c:v>Tech brothers infoservices</c:v>
                </c:pt>
                <c:pt idx="14">
                  <c:v>Dataline</c:v>
                </c:pt>
                <c:pt idx="15">
                  <c:v>US Federal Energy Regulatory Commission</c:v>
                </c:pt>
                <c:pt idx="16">
                  <c:v>Denver Health</c:v>
                </c:pt>
                <c:pt idx="17">
                  <c:v>Adobe</c:v>
                </c:pt>
                <c:pt idx="18">
                  <c:v>Discord</c:v>
                </c:pt>
                <c:pt idx="19">
                  <c:v>Mastercard</c:v>
                </c:pt>
                <c:pt idx="20">
                  <c:v>People, Technology &amp; Processes</c:v>
                </c:pt>
                <c:pt idx="21">
                  <c:v>Nexlogica</c:v>
                </c:pt>
                <c:pt idx="22">
                  <c:v>BAE Systems</c:v>
                </c:pt>
                <c:pt idx="23">
                  <c:v>Software Bloc</c:v>
                </c:pt>
                <c:pt idx="24">
                  <c:v>QVine Corporation</c:v>
                </c:pt>
                <c:pt idx="25">
                  <c:v>Discover Financial Services</c:v>
                </c:pt>
                <c:pt idx="26">
                  <c:v>Sandhills Global, Inc.</c:v>
                </c:pt>
                <c:pt idx="27">
                  <c:v>Dutech Systems</c:v>
                </c:pt>
                <c:pt idx="28">
                  <c:v>SysIntelli</c:v>
                </c:pt>
                <c:pt idx="29">
                  <c:v>EVRY India</c:v>
                </c:pt>
                <c:pt idx="30">
                  <c:v>TechCoreGlobal</c:v>
                </c:pt>
                <c:pt idx="31">
                  <c:v>Health Alliance Plan</c:v>
                </c:pt>
                <c:pt idx="32">
                  <c:v>Twitch Interactive, Inc.</c:v>
                </c:pt>
                <c:pt idx="33">
                  <c:v>HR, Legal, &amp; Administration</c:v>
                </c:pt>
                <c:pt idx="34">
                  <c:v>Walmart</c:v>
                </c:pt>
                <c:pt idx="35">
                  <c:v>INTEL</c:v>
                </c:pt>
                <c:pt idx="36">
                  <c:v>Zartico, Inc.</c:v>
                </c:pt>
                <c:pt idx="37">
                  <c:v>Intone Networks</c:v>
                </c:pt>
                <c:pt idx="38">
                  <c:v>Iron EagleX</c:v>
                </c:pt>
              </c:strCache>
            </c:strRef>
          </c:cat>
          <c:val>
            <c:numRef>
              <c:f>PivotTables!$B$48:$B$87</c:f>
              <c:numCache>
                <c:formatCode>General</c:formatCode>
                <c:ptCount val="39"/>
                <c:pt idx="0">
                  <c:v>20</c:v>
                </c:pt>
                <c:pt idx="1">
                  <c:v>19</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numCache>
            </c:numRef>
          </c:val>
          <c:extLst>
            <c:ext xmlns:c16="http://schemas.microsoft.com/office/drawing/2014/chart" uri="{C3380CC4-5D6E-409C-BE32-E72D297353CC}">
              <c16:uniqueId val="{00000450-A29B-43E0-9F70-D639BDBA62D6}"/>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[CleanedGlassdoorDSJobs.xlsx]PivotTables!PivotTable11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Average Job Rating by On-Site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pivotFmt>
    </c:pivotFmts>
    <c:plotArea>
      <c:layout/>
      <c:barChart>
        <c:barDir val="col"/>
        <c:grouping val="clustered"/>
        <c:varyColors val="0"/>
        <c:ser>
          <c:idx val="0"/>
          <c:order val="0"/>
          <c:tx>
            <c:strRef>
              <c:f>PivotTables!$B$607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extLst>
              <c:ext xmlns:c16="http://schemas.microsoft.com/office/drawing/2014/chart" uri="{C3380CC4-5D6E-409C-BE32-E72D297353CC}">
                <c16:uniqueId val="{00000002-F07D-49B9-BAA9-0AEC6F2C3F64}"/>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extLst>
              <c:ext xmlns:c16="http://schemas.microsoft.com/office/drawing/2014/chart" uri="{C3380CC4-5D6E-409C-BE32-E72D297353CC}">
                <c16:uniqueId val="{00000001-F07D-49B9-BAA9-0AEC6F2C3F64}"/>
              </c:ext>
            </c:extLst>
          </c:dPt>
          <c:cat>
            <c:strRef>
              <c:f>PivotTables!$A$608:$A$610</c:f>
              <c:strCache>
                <c:ptCount val="2"/>
                <c:pt idx="0">
                  <c:v>On-Site</c:v>
                </c:pt>
                <c:pt idx="1">
                  <c:v>Remote</c:v>
                </c:pt>
              </c:strCache>
            </c:strRef>
          </c:cat>
          <c:val>
            <c:numRef>
              <c:f>PivotTables!$B$608:$B$610</c:f>
              <c:numCache>
                <c:formatCode>0.0</c:formatCode>
                <c:ptCount val="2"/>
                <c:pt idx="0">
                  <c:v>4.2888888888888896</c:v>
                </c:pt>
                <c:pt idx="1">
                  <c:v>3.5</c:v>
                </c:pt>
              </c:numCache>
            </c:numRef>
          </c:val>
          <c:extLst>
            <c:ext xmlns:c16="http://schemas.microsoft.com/office/drawing/2014/chart" uri="{C3380CC4-5D6E-409C-BE32-E72D297353CC}">
              <c16:uniqueId val="{00000000-F07D-49B9-BAA9-0AEC6F2C3F64}"/>
            </c:ext>
          </c:extLst>
        </c:ser>
        <c:dLbls>
          <c:showLegendKey val="0"/>
          <c:showVal val="0"/>
          <c:showCatName val="0"/>
          <c:showSerName val="0"/>
          <c:showPercent val="0"/>
          <c:showBubbleSize val="0"/>
        </c:dLbls>
        <c:gapWidth val="100"/>
        <c:overlap val="-24"/>
        <c:axId val="241611119"/>
        <c:axId val="1419175360"/>
      </c:barChart>
      <c:catAx>
        <c:axId val="241611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75360"/>
        <c:crosses val="autoZero"/>
        <c:auto val="1"/>
        <c:lblAlgn val="ctr"/>
        <c:lblOffset val="100"/>
        <c:noMultiLvlLbl val="0"/>
      </c:catAx>
      <c:valAx>
        <c:axId val="141917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Job Ratinh (Average)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[CleanedGlassdoorDSJobs.xlsx]PivotTables!PivotTable6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Average Salary by On-Site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PivotTables!$B$602</c:f>
              <c:strCache>
                <c:ptCount val="1"/>
                <c:pt idx="0">
                  <c:v>Average of Miniumum 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invertIfNegative val="0"/>
          <c:cat>
            <c:strRef>
              <c:f>PivotTables!$A$603:$A$605</c:f>
              <c:strCache>
                <c:ptCount val="2"/>
                <c:pt idx="0">
                  <c:v>On-Site</c:v>
                </c:pt>
                <c:pt idx="1">
                  <c:v>Remote</c:v>
                </c:pt>
              </c:strCache>
            </c:strRef>
          </c:cat>
          <c:val>
            <c:numRef>
              <c:f>PivotTables!$B$603:$B$605</c:f>
              <c:numCache>
                <c:formatCode>"$"#,##0</c:formatCode>
                <c:ptCount val="2"/>
                <c:pt idx="0">
                  <c:v>105413.15789473684</c:v>
                </c:pt>
                <c:pt idx="1">
                  <c:v>93843.199999999997</c:v>
                </c:pt>
              </c:numCache>
            </c:numRef>
          </c:val>
          <c:extLst>
            <c:ext xmlns:c16="http://schemas.microsoft.com/office/drawing/2014/chart" uri="{C3380CC4-5D6E-409C-BE32-E72D297353CC}">
              <c16:uniqueId val="{00000000-F2FC-4B15-A2BE-B2B927D86641}"/>
            </c:ext>
          </c:extLst>
        </c:ser>
        <c:ser>
          <c:idx val="1"/>
          <c:order val="1"/>
          <c:tx>
            <c:strRef>
              <c:f>PivotTables!$C$602</c:f>
              <c:strCache>
                <c:ptCount val="1"/>
                <c:pt idx="0">
                  <c:v>Average of Average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invertIfNegative val="0"/>
          <c:cat>
            <c:strRef>
              <c:f>PivotTables!$A$603:$A$605</c:f>
              <c:strCache>
                <c:ptCount val="2"/>
                <c:pt idx="0">
                  <c:v>On-Site</c:v>
                </c:pt>
                <c:pt idx="1">
                  <c:v>Remote</c:v>
                </c:pt>
              </c:strCache>
            </c:strRef>
          </c:cat>
          <c:val>
            <c:numRef>
              <c:f>PivotTables!$C$603:$C$605</c:f>
              <c:numCache>
                <c:formatCode>"$"#,##0</c:formatCode>
                <c:ptCount val="2"/>
                <c:pt idx="0">
                  <c:v>120892.10526315789</c:v>
                </c:pt>
                <c:pt idx="1">
                  <c:v>110976</c:v>
                </c:pt>
              </c:numCache>
            </c:numRef>
          </c:val>
          <c:extLst>
            <c:ext xmlns:c16="http://schemas.microsoft.com/office/drawing/2014/chart" uri="{C3380CC4-5D6E-409C-BE32-E72D297353CC}">
              <c16:uniqueId val="{00000001-F2FC-4B15-A2BE-B2B927D86641}"/>
            </c:ext>
          </c:extLst>
        </c:ser>
        <c:ser>
          <c:idx val="2"/>
          <c:order val="2"/>
          <c:tx>
            <c:strRef>
              <c:f>PivotTables!$D$602</c:f>
              <c:strCache>
                <c:ptCount val="1"/>
                <c:pt idx="0">
                  <c:v>Average of Maximum Salary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sx="1000" sy="1000" algn="ctr" rotWithShape="0">
                <a:srgbClr val="000000">
                  <a:alpha val="63000"/>
                </a:srgbClr>
              </a:outerShdw>
            </a:effectLst>
          </c:spPr>
          <c:invertIfNegative val="0"/>
          <c:cat>
            <c:strRef>
              <c:f>PivotTables!$A$603:$A$605</c:f>
              <c:strCache>
                <c:ptCount val="2"/>
                <c:pt idx="0">
                  <c:v>On-Site</c:v>
                </c:pt>
                <c:pt idx="1">
                  <c:v>Remote</c:v>
                </c:pt>
              </c:strCache>
            </c:strRef>
          </c:cat>
          <c:val>
            <c:numRef>
              <c:f>PivotTables!$D$603:$D$605</c:f>
              <c:numCache>
                <c:formatCode>"$"#,##0</c:formatCode>
                <c:ptCount val="2"/>
                <c:pt idx="0">
                  <c:v>136371.05263157896</c:v>
                </c:pt>
                <c:pt idx="1">
                  <c:v>128108.8</c:v>
                </c:pt>
              </c:numCache>
            </c:numRef>
          </c:val>
          <c:extLst>
            <c:ext xmlns:c16="http://schemas.microsoft.com/office/drawing/2014/chart" uri="{C3380CC4-5D6E-409C-BE32-E72D297353CC}">
              <c16:uniqueId val="{00000002-F2FC-4B15-A2BE-B2B927D86641}"/>
            </c:ext>
          </c:extLst>
        </c:ser>
        <c:dLbls>
          <c:showLegendKey val="0"/>
          <c:showVal val="0"/>
          <c:showCatName val="0"/>
          <c:showSerName val="0"/>
          <c:showPercent val="0"/>
          <c:showBubbleSize val="0"/>
        </c:dLbls>
        <c:gapWidth val="100"/>
        <c:overlap val="-24"/>
        <c:axId val="241667263"/>
        <c:axId val="1419166720"/>
      </c:barChart>
      <c:catAx>
        <c:axId val="241667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66720"/>
        <c:crosses val="autoZero"/>
        <c:auto val="1"/>
        <c:lblAlgn val="ctr"/>
        <c:lblOffset val="100"/>
        <c:noMultiLvlLbl val="0"/>
      </c:catAx>
      <c:valAx>
        <c:axId val="141916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6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1114425</xdr:colOff>
      <xdr:row>0</xdr:row>
      <xdr:rowOff>0</xdr:rowOff>
    </xdr:from>
    <xdr:to>
      <xdr:col>14</xdr:col>
      <xdr:colOff>142875</xdr:colOff>
      <xdr:row>14</xdr:row>
      <xdr:rowOff>76200</xdr:rowOff>
    </xdr:to>
    <xdr:graphicFrame macro="">
      <xdr:nvGraphicFramePr>
        <xdr:cNvPr id="4" name="Chart 3">
          <a:extLst>
            <a:ext uri="{FF2B5EF4-FFF2-40B4-BE49-F238E27FC236}">
              <a16:creationId xmlns:a16="http://schemas.microsoft.com/office/drawing/2014/main" id="{C552E888-DD40-82D5-F6D7-6F10B028F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46</xdr:row>
      <xdr:rowOff>14287</xdr:rowOff>
    </xdr:from>
    <xdr:to>
      <xdr:col>6</xdr:col>
      <xdr:colOff>542925</xdr:colOff>
      <xdr:row>60</xdr:row>
      <xdr:rowOff>90487</xdr:rowOff>
    </xdr:to>
    <xdr:graphicFrame macro="">
      <xdr:nvGraphicFramePr>
        <xdr:cNvPr id="6" name="Chart 5">
          <a:extLst>
            <a:ext uri="{FF2B5EF4-FFF2-40B4-BE49-F238E27FC236}">
              <a16:creationId xmlns:a16="http://schemas.microsoft.com/office/drawing/2014/main" id="{CBFC95B0-15E3-D6B3-E8F9-46A84D0F9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1057275</xdr:colOff>
      <xdr:row>601</xdr:row>
      <xdr:rowOff>4762</xdr:rowOff>
    </xdr:from>
    <xdr:to>
      <xdr:col>13</xdr:col>
      <xdr:colOff>123825</xdr:colOff>
      <xdr:row>616</xdr:row>
      <xdr:rowOff>0</xdr:rowOff>
    </xdr:to>
    <xdr:graphicFrame macro="">
      <xdr:nvGraphicFramePr>
        <xdr:cNvPr id="8" name="Chart 7">
          <a:extLst>
            <a:ext uri="{FF2B5EF4-FFF2-40B4-BE49-F238E27FC236}">
              <a16:creationId xmlns:a16="http://schemas.microsoft.com/office/drawing/2014/main" id="{9BFE88F4-1C29-D634-1547-7E1B001FB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781050</xdr:colOff>
      <xdr:row>605</xdr:row>
      <xdr:rowOff>176212</xdr:rowOff>
    </xdr:from>
    <xdr:to>
      <xdr:col>4</xdr:col>
      <xdr:colOff>809625</xdr:colOff>
      <xdr:row>620</xdr:row>
      <xdr:rowOff>61912</xdr:rowOff>
    </xdr:to>
    <xdr:graphicFrame macro="">
      <xdr:nvGraphicFramePr>
        <xdr:cNvPr id="9" name="Chart 8">
          <a:extLst>
            <a:ext uri="{FF2B5EF4-FFF2-40B4-BE49-F238E27FC236}">
              <a16:creationId xmlns:a16="http://schemas.microsoft.com/office/drawing/2014/main" id="{0DA22CC6-BA57-3D3E-0C92-08E7CA2D9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22</xdr:row>
      <xdr:rowOff>0</xdr:rowOff>
    </xdr:from>
    <xdr:to>
      <xdr:col>19</xdr:col>
      <xdr:colOff>600075</xdr:colOff>
      <xdr:row>37</xdr:row>
      <xdr:rowOff>0</xdr:rowOff>
    </xdr:to>
    <xdr:graphicFrame macro="">
      <xdr:nvGraphicFramePr>
        <xdr:cNvPr id="5" name="Chart 4">
          <a:extLst>
            <a:ext uri="{FF2B5EF4-FFF2-40B4-BE49-F238E27FC236}">
              <a16:creationId xmlns:a16="http://schemas.microsoft.com/office/drawing/2014/main" id="{80ABF268-6CB5-46DB-96D1-55CE8C1AF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9</xdr:row>
      <xdr:rowOff>9525</xdr:rowOff>
    </xdr:from>
    <xdr:to>
      <xdr:col>9</xdr:col>
      <xdr:colOff>600074</xdr:colOff>
      <xdr:row>22</xdr:row>
      <xdr:rowOff>0</xdr:rowOff>
    </xdr:to>
    <xdr:graphicFrame macro="">
      <xdr:nvGraphicFramePr>
        <xdr:cNvPr id="6" name="Chart 5">
          <a:extLst>
            <a:ext uri="{FF2B5EF4-FFF2-40B4-BE49-F238E27FC236}">
              <a16:creationId xmlns:a16="http://schemas.microsoft.com/office/drawing/2014/main" id="{2885D68F-7D37-414A-A989-26152D196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9</xdr:row>
      <xdr:rowOff>0</xdr:rowOff>
    </xdr:from>
    <xdr:to>
      <xdr:col>14</xdr:col>
      <xdr:colOff>0</xdr:colOff>
      <xdr:row>22</xdr:row>
      <xdr:rowOff>0</xdr:rowOff>
    </xdr:to>
    <xdr:graphicFrame macro="">
      <xdr:nvGraphicFramePr>
        <xdr:cNvPr id="7" name="Chart 6">
          <a:extLst>
            <a:ext uri="{FF2B5EF4-FFF2-40B4-BE49-F238E27FC236}">
              <a16:creationId xmlns:a16="http://schemas.microsoft.com/office/drawing/2014/main" id="{938B8C55-6362-400C-9331-4135F003B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9</xdr:row>
      <xdr:rowOff>0</xdr:rowOff>
    </xdr:from>
    <xdr:to>
      <xdr:col>19</xdr:col>
      <xdr:colOff>600075</xdr:colOff>
      <xdr:row>22</xdr:row>
      <xdr:rowOff>0</xdr:rowOff>
    </xdr:to>
    <xdr:graphicFrame macro="">
      <xdr:nvGraphicFramePr>
        <xdr:cNvPr id="8" name="Chart 7">
          <a:extLst>
            <a:ext uri="{FF2B5EF4-FFF2-40B4-BE49-F238E27FC236}">
              <a16:creationId xmlns:a16="http://schemas.microsoft.com/office/drawing/2014/main" id="{CF145BA4-B483-491B-9749-486183BA3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0</xdr:rowOff>
    </xdr:from>
    <xdr:to>
      <xdr:col>3</xdr:col>
      <xdr:colOff>0</xdr:colOff>
      <xdr:row>14</xdr:row>
      <xdr:rowOff>28575</xdr:rowOff>
    </xdr:to>
    <mc:AlternateContent xmlns:mc="http://schemas.openxmlformats.org/markup-compatibility/2006">
      <mc:Choice xmlns:a14="http://schemas.microsoft.com/office/drawing/2010/main" Requires="a14">
        <xdr:graphicFrame macro="">
          <xdr:nvGraphicFramePr>
            <xdr:cNvPr id="9" name="Requires SQL">
              <a:extLst>
                <a:ext uri="{FF2B5EF4-FFF2-40B4-BE49-F238E27FC236}">
                  <a16:creationId xmlns:a16="http://schemas.microsoft.com/office/drawing/2014/main" id="{7398490B-D2FF-1F62-62C0-B85C3AEE273B}"/>
                </a:ext>
              </a:extLst>
            </xdr:cNvPr>
            <xdr:cNvGraphicFramePr/>
          </xdr:nvGraphicFramePr>
          <xdr:xfrm>
            <a:off x="0" y="0"/>
            <a:ext cx="0" cy="0"/>
          </xdr:xfrm>
          <a:graphic>
            <a:graphicData uri="http://schemas.microsoft.com/office/drawing/2010/slicer">
              <sle:slicer xmlns:sle="http://schemas.microsoft.com/office/drawing/2010/slicer" name="Requires SQL"/>
            </a:graphicData>
          </a:graphic>
        </xdr:graphicFrame>
      </mc:Choice>
      <mc:Fallback>
        <xdr:sp macro="" textlink="">
          <xdr:nvSpPr>
            <xdr:cNvPr id="0" name=""/>
            <xdr:cNvSpPr>
              <a:spLocks noTextEdit="1"/>
            </xdr:cNvSpPr>
          </xdr:nvSpPr>
          <xdr:spPr>
            <a:xfrm>
              <a:off x="0" y="1714500"/>
              <a:ext cx="1815353"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19050</xdr:rowOff>
    </xdr:from>
    <xdr:to>
      <xdr:col>3</xdr:col>
      <xdr:colOff>0</xdr:colOff>
      <xdr:row>19</xdr:row>
      <xdr:rowOff>38100</xdr:rowOff>
    </xdr:to>
    <mc:AlternateContent xmlns:mc="http://schemas.openxmlformats.org/markup-compatibility/2006">
      <mc:Choice xmlns:a14="http://schemas.microsoft.com/office/drawing/2010/main" Requires="a14">
        <xdr:graphicFrame macro="">
          <xdr:nvGraphicFramePr>
            <xdr:cNvPr id="10" name="Requires Python">
              <a:extLst>
                <a:ext uri="{FF2B5EF4-FFF2-40B4-BE49-F238E27FC236}">
                  <a16:creationId xmlns:a16="http://schemas.microsoft.com/office/drawing/2014/main" id="{A4AA7962-A886-2FAF-7680-472DC92056B8}"/>
                </a:ext>
              </a:extLst>
            </xdr:cNvPr>
            <xdr:cNvGraphicFramePr/>
          </xdr:nvGraphicFramePr>
          <xdr:xfrm>
            <a:off x="0" y="0"/>
            <a:ext cx="0" cy="0"/>
          </xdr:xfrm>
          <a:graphic>
            <a:graphicData uri="http://schemas.microsoft.com/office/drawing/2010/slicer">
              <sle:slicer xmlns:sle="http://schemas.microsoft.com/office/drawing/2010/slicer" name="Requires Python"/>
            </a:graphicData>
          </a:graphic>
        </xdr:graphicFrame>
      </mc:Choice>
      <mc:Fallback>
        <xdr:sp macro="" textlink="">
          <xdr:nvSpPr>
            <xdr:cNvPr id="0" name=""/>
            <xdr:cNvSpPr>
              <a:spLocks noTextEdit="1"/>
            </xdr:cNvSpPr>
          </xdr:nvSpPr>
          <xdr:spPr>
            <a:xfrm>
              <a:off x="0" y="2686050"/>
              <a:ext cx="1815353"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28575</xdr:rowOff>
    </xdr:from>
    <xdr:to>
      <xdr:col>3</xdr:col>
      <xdr:colOff>0</xdr:colOff>
      <xdr:row>24</xdr:row>
      <xdr:rowOff>66675</xdr:rowOff>
    </xdr:to>
    <mc:AlternateContent xmlns:mc="http://schemas.openxmlformats.org/markup-compatibility/2006">
      <mc:Choice xmlns:a14="http://schemas.microsoft.com/office/drawing/2010/main" Requires="a14">
        <xdr:graphicFrame macro="">
          <xdr:nvGraphicFramePr>
            <xdr:cNvPr id="11" name="Requires Tableau">
              <a:extLst>
                <a:ext uri="{FF2B5EF4-FFF2-40B4-BE49-F238E27FC236}">
                  <a16:creationId xmlns:a16="http://schemas.microsoft.com/office/drawing/2014/main" id="{215CE722-32BB-3788-CB32-8B93C667C027}"/>
                </a:ext>
              </a:extLst>
            </xdr:cNvPr>
            <xdr:cNvGraphicFramePr/>
          </xdr:nvGraphicFramePr>
          <xdr:xfrm>
            <a:off x="0" y="0"/>
            <a:ext cx="0" cy="0"/>
          </xdr:xfrm>
          <a:graphic>
            <a:graphicData uri="http://schemas.microsoft.com/office/drawing/2010/slicer">
              <sle:slicer xmlns:sle="http://schemas.microsoft.com/office/drawing/2010/slicer" name="Requires Tableau"/>
            </a:graphicData>
          </a:graphic>
        </xdr:graphicFrame>
      </mc:Choice>
      <mc:Fallback>
        <xdr:sp macro="" textlink="">
          <xdr:nvSpPr>
            <xdr:cNvPr id="0" name=""/>
            <xdr:cNvSpPr>
              <a:spLocks noTextEdit="1"/>
            </xdr:cNvSpPr>
          </xdr:nvSpPr>
          <xdr:spPr>
            <a:xfrm>
              <a:off x="0" y="3648075"/>
              <a:ext cx="1815353"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47625</xdr:rowOff>
    </xdr:from>
    <xdr:to>
      <xdr:col>3</xdr:col>
      <xdr:colOff>0</xdr:colOff>
      <xdr:row>29</xdr:row>
      <xdr:rowOff>85725</xdr:rowOff>
    </xdr:to>
    <mc:AlternateContent xmlns:mc="http://schemas.openxmlformats.org/markup-compatibility/2006">
      <mc:Choice xmlns:a14="http://schemas.microsoft.com/office/drawing/2010/main" Requires="a14">
        <xdr:graphicFrame macro="">
          <xdr:nvGraphicFramePr>
            <xdr:cNvPr id="12" name="Requires Power BI">
              <a:extLst>
                <a:ext uri="{FF2B5EF4-FFF2-40B4-BE49-F238E27FC236}">
                  <a16:creationId xmlns:a16="http://schemas.microsoft.com/office/drawing/2014/main" id="{3BA042A7-72B5-AC11-D539-5C67FA8CCA2E}"/>
                </a:ext>
              </a:extLst>
            </xdr:cNvPr>
            <xdr:cNvGraphicFramePr/>
          </xdr:nvGraphicFramePr>
          <xdr:xfrm>
            <a:off x="0" y="0"/>
            <a:ext cx="0" cy="0"/>
          </xdr:xfrm>
          <a:graphic>
            <a:graphicData uri="http://schemas.microsoft.com/office/drawing/2010/slicer">
              <sle:slicer xmlns:sle="http://schemas.microsoft.com/office/drawing/2010/slicer" name="Requires Power BI"/>
            </a:graphicData>
          </a:graphic>
        </xdr:graphicFrame>
      </mc:Choice>
      <mc:Fallback>
        <xdr:sp macro="" textlink="">
          <xdr:nvSpPr>
            <xdr:cNvPr id="0" name=""/>
            <xdr:cNvSpPr>
              <a:spLocks noTextEdit="1"/>
            </xdr:cNvSpPr>
          </xdr:nvSpPr>
          <xdr:spPr>
            <a:xfrm>
              <a:off x="0" y="4619625"/>
              <a:ext cx="1815353"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82363</xdr:rowOff>
    </xdr:from>
    <xdr:to>
      <xdr:col>3</xdr:col>
      <xdr:colOff>0</xdr:colOff>
      <xdr:row>37</xdr:row>
      <xdr:rowOff>0</xdr:rowOff>
    </xdr:to>
    <mc:AlternateContent xmlns:mc="http://schemas.openxmlformats.org/markup-compatibility/2006">
      <mc:Choice xmlns:a14="http://schemas.microsoft.com/office/drawing/2010/main" Requires="a14">
        <xdr:graphicFrame macro="">
          <xdr:nvGraphicFramePr>
            <xdr:cNvPr id="13" name="On Site">
              <a:extLst>
                <a:ext uri="{FF2B5EF4-FFF2-40B4-BE49-F238E27FC236}">
                  <a16:creationId xmlns:a16="http://schemas.microsoft.com/office/drawing/2014/main" id="{057CA744-9BFA-6920-DCA0-32B9201F5097}"/>
                </a:ext>
              </a:extLst>
            </xdr:cNvPr>
            <xdr:cNvGraphicFramePr/>
          </xdr:nvGraphicFramePr>
          <xdr:xfrm>
            <a:off x="0" y="0"/>
            <a:ext cx="0" cy="0"/>
          </xdr:xfrm>
          <a:graphic>
            <a:graphicData uri="http://schemas.microsoft.com/office/drawing/2010/slicer">
              <sle:slicer xmlns:sle="http://schemas.microsoft.com/office/drawing/2010/slicer" name="On Site"/>
            </a:graphicData>
          </a:graphic>
        </xdr:graphicFrame>
      </mc:Choice>
      <mc:Fallback>
        <xdr:sp macro="" textlink="">
          <xdr:nvSpPr>
            <xdr:cNvPr id="0" name=""/>
            <xdr:cNvSpPr>
              <a:spLocks noTextEdit="1"/>
            </xdr:cNvSpPr>
          </xdr:nvSpPr>
          <xdr:spPr>
            <a:xfrm>
              <a:off x="0" y="5606863"/>
              <a:ext cx="1815353" cy="1441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refreshedDate="46294.424021527775" createdVersion="8" refreshedVersion="8" minRefreshableVersion="3" recordCount="1099" xr:uid="{07B9EB2A-AF9E-4A8F-93AE-620ED7EF8314}">
  <cacheSource type="worksheet">
    <worksheetSource ref="A1:M1100" sheet="WorkingData"/>
  </cacheSource>
  <cacheFields count="13">
    <cacheField name="Job Title" numFmtId="0">
      <sharedItems count="325">
        <s v="Data Scientist"/>
        <s v="(USA) Principal Data Scientist - E2E"/>
        <s v="Data Scientist- Marketing"/>
        <s v="Data Engineer"/>
        <s v="Data Scientist Senior"/>
        <s v="Data Scientist I"/>
        <s v="Sr Data Scientist"/>
        <s v="DigiT Data Software Engineer"/>
        <s v="Senior Data Scientist"/>
        <s v="Principal Bioinformatics Scientist (Cancer Biology)"/>
        <s v="Data Science Analyst"/>
        <s v="Data Scientist/AI Engineer"/>
        <s v="Bec Dx Jr Data Scientist"/>
        <s v="Core Tech TPM, Data and ML"/>
        <s v="Data Scientist V Data Science"/>
        <s v="Data Scientist (Hybrid)"/>
        <s v="College Graduate - Physics (BS/MS)"/>
        <s v="Senior Data Scientist - Modeling &amp; Optimization"/>
        <s v="Senior Data Scientist- Data Strategy"/>
        <s v="Sr. Data Scientist, Reliability Engineering"/>
        <s v="Data Scientist 5"/>
        <s v="Sr. Data Scientist (Starlink Product)"/>
        <s v="Principal Data Scientist"/>
        <s v="Data Scientist Algorithm Developer"/>
        <s v="Data Scientist/Algorithm Developer"/>
        <s v="Data Scientist 2 - Cross Function, Machine Learning &amp; Analytical Data Products - Hybrid - Seattle or Los Angeles"/>
        <s v="Data Scientist- CalAIM"/>
        <s v="Research Associate Data Scientist - Nursing Research"/>
        <s v="Data Scientist (L5), Member Product"/>
        <s v="Data Scientist / Senior Data Scientist"/>
        <s v="Data Scientist 2, Menlo Park, CA # 3192"/>
        <s v="Staff Data Scientist"/>
        <s v="Data Scientist, Tiktok Ads-Vertical Solutions"/>
        <s v="Data Scientist - Tiktok Ads, Growth Marketing"/>
        <s v="Principal Technical Data Scientist"/>
        <s v="Sr. Data Scientist"/>
        <s v="Data Scientist / Analyst"/>
        <s v="Forward Deployed Data Scientist"/>
        <s v="Data Analyst, Senior"/>
        <s v="Sr. Data Engineer"/>
        <s v="Data Engineer - AI/ML"/>
        <s v="Data Scientist - AI/ML"/>
        <s v="Data Scientist, Machine Learning"/>
        <s v="Senior Data Scientist - Analytics"/>
        <s v="Associate Data Scientist"/>
        <s v="Software Engineer - Data Scientist"/>
        <s v="Jr. Data Scientist, Minerva Analytics"/>
        <s v="Senior Principal Data Scientist"/>
        <s v="Data Scientist: Advanced Analytics"/>
        <s v="Senior Data Scientist, Causal Inference - Marketing Technology (6 - 12 Month Contract)"/>
        <s v="Machine Learning Data Scientist - Growth Algorithms"/>
        <s v="Staff Data Scientist - Algorithms, Guest Science"/>
        <s v="Senior Manager, Data Science"/>
        <s v="Staff Data Scientist - Advertising"/>
        <s v="Senior Data Scientist ML Engineer"/>
        <s v="Data Scientist, Product"/>
        <s v="Data Scientist, Sales Insights"/>
        <s v="Data Scientist, Analytics"/>
        <s v="Senior Data Scientist - Measurement"/>
        <s v="Data Analyst, Marketing"/>
        <s v="Senior People Data Scientist"/>
        <s v="Senior Data Scientist, Ads Fraud Protection"/>
        <s v="Staff Data Scientist - Marketing"/>
        <s v="Senior Data Scientist, Forecasting"/>
        <s v="Senior Data Scientist, Analytics (Communities)"/>
        <s v="Sr. Data Scientist - Data Quality"/>
        <s v="Staff Data Scientist, Cash App Compliance"/>
        <s v="Sr. Data Scientist, Content"/>
        <s v="Data Scientist, AI Expertise"/>
        <s v="Machine Learning Engineer"/>
        <s v="Data Instrument Engineer"/>
        <s v="Date Scientist"/>
        <s v="Lead Data Scientist - TikTok User Growth"/>
        <s v="Sr Data Scientist, Risk Data Mining"/>
        <s v="E-commerce Data Scientist"/>
        <s v="Senior AI/ML Fraud Strategist/ Data Scientist"/>
        <s v="Jr. Data Scientist"/>
        <s v="2024 University Graduate - Data Scientist"/>
        <s v="Technical Lead Data Scientist, Creator"/>
        <s v="Senior Data Scientist - Discovery Experiences"/>
        <s v="Data Scientist, Infrastructure Foundation"/>
        <s v="Sr. Data Scientist (Strategic Insights)"/>
        <s v="Staff Data Scientist - Deep Learning"/>
        <s v="Senior Data Scientist, Ops Data Platform"/>
        <s v="Staff Data Scientist-Generative AI and NLP"/>
        <s v="College Graduate - Data Science (BS/MS)"/>
        <s v="College Graduate - Computer Engineering - (Bachelors)"/>
        <s v="Senior Data Scientist, Sponsored Products"/>
        <s v="Senior/Principal Data Scientist"/>
        <s v="Data Scientist/Senior Data Scientist, Metabolomics"/>
        <s v="Machine Learning Scientist (Chemistry)"/>
        <s v="Data Scientist, RegLab"/>
        <s v="Staff Software Engineer | Machine Learning"/>
        <s v="Machine Learning Data Scientist"/>
        <s v="Junior Data Scientist"/>
        <s v="Bayesian Statistician (Data Scientist)"/>
        <s v="Data Scientist 3 DS3 (VV) 1034"/>
        <s v="Bioinformatics Analyst / Data Scientist"/>
        <s v="Scientist Sr/Pr - Data Scientist"/>
        <s v="Environmental Data Scientist I"/>
        <s v="Senior Staff Data Scientist"/>
        <s v="Data Scientist II/III"/>
        <s v="Contract - Data Scientist"/>
        <s v="Statistician- Data Scientist III- PCAPP"/>
        <s v="Sr Dir &amp; Data Scientist - AI &amp; Underwriting Automation"/>
        <s v="Senior Health Data Scientist"/>
        <s v="Data Scientist/Data Analyst"/>
        <s v="Managing Director Data Scientist Engineer"/>
        <s v="Specialist Solutions Architect - Machine Learning (Public Sector)"/>
        <s v="Mathematical Statistician or Statistician (Data Scientist)"/>
        <s v="Data Scientist - NLP"/>
        <s v="Data Scientist (Open to both U.S. Citizens and Federal Employees)"/>
        <s v="Statistician (Data Scientist)"/>
        <s v="Data Scientist (Artificial Intelligence / Machine Learning)"/>
        <s v="Data Scientist (Direct Hire)"/>
        <s v="Quantitative Analyst/Data Scientist"/>
        <s v="Entry Level - Associate Consultant (Federal)"/>
        <s v="Data Analytics Engineer"/>
        <s v="Data Engineer Analyst"/>
        <s v="Sr Clinical Data Scientist"/>
        <s v="Jr. Engineer, Data Scientist"/>
        <s v="Sr. Consultant, Data Scientist"/>
        <s v="Lead Data Scientist"/>
        <s v="Sr. Data Scientist (Data Stewardship)"/>
        <s v="Specialist, Data Scientist"/>
        <s v="Field Data Scientist (Spanish speaking) - IDS2009"/>
        <s v="Research Data Analyst"/>
        <s v="Quantitative Researcher (Data Scientist)"/>
        <s v="Principal Data Scientist - Machine Learning"/>
        <s v="Sr. Data Scientist II"/>
        <s v="Data Scientist, Data Services - Remote"/>
        <s v="Grace Hopper 2023: Data Scientist"/>
        <s v="Entry Level - Associate Data Scientist - Commercial"/>
        <s v="Lead Data Scientist - Online Platforms Reinforcement Learning (Remote)"/>
        <s v="Data Scientist, Customer Identity &amp; Access Management"/>
        <s v="Data Analyst Lead - Data Scientist"/>
        <s v="Senior Data Analyst"/>
        <s v="Data Scientist – Entry Level 2024"/>
        <s v="Public Notice for Direct Hire (Data Modernization)"/>
        <s v="Data Scientist - Augusta Ga"/>
        <s v="Data Scientist/SR Data Scientist"/>
        <s v="Data Scientist Consultant"/>
        <s v="Senior Data Scientist II"/>
        <s v="Short-term trading desk Data Scientist (m/f/t)"/>
        <s v="Data Scientist - BCG X"/>
        <s v="Data Scientist (Remote)"/>
        <s v="Financial Business Analyst"/>
        <s v="Data Scientist Sr"/>
        <s v="Marketing Data Scientist"/>
        <s v="Lead Data Science Analyst (multiple openings) - IHM"/>
        <s v="Remote Data Scientist"/>
        <s v="Data Scientist Co-Op"/>
        <s v="Machine Learning / NLP Data Scientist"/>
        <s v="IS Data Consultant"/>
        <s v="iO Data Scientist"/>
        <s v="Principal Machine Learning Engineer"/>
        <s v="Data Software Engineer"/>
        <s v="Senior Data Scientist, Attribution"/>
        <s v="Senior Data Scientist (Sleep)"/>
        <s v="Data Scientist, Natural Language Interfaces"/>
        <s v="Sr. Marketing Data Scientist"/>
        <s v="Computational Physicist/Data Scientist"/>
        <s v="Research &amp; Development Engineer Co-op (Associate Scientist)"/>
        <s v="Senior Data Scientist, AI and Computational Chemistry"/>
        <s v="2024 Co-Op, Data Science and Artificial Intelligence"/>
        <s v="Behavioral Data Scientist"/>
        <s v="Supply Chain Data Analytics Specialist"/>
        <s v="Supply Chain Data Scientist"/>
        <s v="Visualization/Data Scientist"/>
        <s v="USA-Data Scientist II (Clinical)"/>
        <s v="Data Scientist, EDA"/>
        <s v="Data Scientist III"/>
        <s v="Data Scientist (Multiple Levels)"/>
        <s v="Data Scientist - Level 1"/>
        <s v="Postdoctoral Fellow/Research Associate/Data Scientist in Cancer Epidemiology Research"/>
        <s v="Operations Research Data Scientist"/>
        <s v="Data Scientist (Faculty Assistant, Post-Doctoral Associate, or Assistant Research Scholar"/>
        <s v="Data Scientist, Senior (DS3)"/>
        <s v="Jr. ORSA / Data Scientist"/>
        <s v="Data Scientist - Associate - Secret Clearance!"/>
        <s v="Scientist I"/>
        <s v="Data Scientist/Database Administrator"/>
        <s v="MS Healthcare Data Scientist - Analytics"/>
        <s v="Data Scientist/Developer"/>
        <s v="Data Scientist Trainee"/>
        <s v="Analytics Scientist"/>
        <s v="Data Scientist, Model e Customer Business Systems"/>
        <s v="Junior Data Scientist (Co-op)"/>
        <s v="Data Science"/>
        <s v="Data Scientist/Senior Data Scientist"/>
        <s v="Data Scientist - Generative AI"/>
        <s v="Data Scientist II- Outcomes"/>
        <s v="Chief Data Scientist"/>
        <s v="Senior Data Scientist - Research (Remote)"/>
        <s v="Bioinformatics Data Scientist"/>
        <s v="AVP Data Scientist"/>
        <s v="Data Scientist Advanced Development Program"/>
        <s v="Data Scientist II"/>
        <s v="Principal CoE Data Scientist"/>
        <s v="ViiV Healthcare (GSK) US Data Scientist"/>
        <s v="Data Analyst Associate"/>
        <s v="Senior Data Scientist I"/>
        <s v="Aspire Program, Early Career -Data Scientist I"/>
        <s v="MATERNAL AND CHILD HEALTH DATA SCIENTIST/EPIDEMIOLOGIST"/>
        <s v="Data Scientist/Salesforce Administrator"/>
        <s v="Data Scientist, Analytics &amp; Insights"/>
        <s v="Jr Data Scientist"/>
        <s v="Lead Data Scientist - Engagement &amp; Customer Experience Analytics - Corporate Investment Banking"/>
        <s v="Data Scientist, Data-Driven Marketing"/>
        <s v="Clinical Data Scientist"/>
        <s v="(Senior) Scientist, Clinical Development Data Science"/>
        <s v="Data Scientist Position"/>
        <s v="Data Scientist - SQL / SAS &amp; Tableau"/>
        <s v="Market Data Analyst"/>
        <s v="Data Scientist 1"/>
        <s v="Senior Data Scientist, Seller Experience"/>
        <s v="Data Scientist - Hybrid Opportunity"/>
        <s v="Data Scientist, Dependency Planning"/>
        <s v="Senior Data Scientist (Product Analytics)"/>
        <s v="Senior Data Scientist | Product"/>
        <s v="Senior Data Scientist - NYC"/>
        <s v="Director/TL, Data Science - Biopharma"/>
        <s v="Sr Data Scientist (Innovation Lab)"/>
        <s v="Global Technology Transformation Analytics Vice President"/>
        <s v="Data Scientist, Clinical Analytics"/>
        <s v="Data Scientist, Analytics - Ads"/>
        <s v="Senior Data Scientist, Experimentation"/>
        <s v="Product Data Scientist"/>
        <s v="Data Science Analyst I-Personalized Medicine"/>
        <s v="Junior Consultant in Strategy &amp; Data Science - New York"/>
        <s v="Data Scientist, Data Product"/>
        <s v="IT Data Scientist I-IV"/>
        <s v="Sleep Medicine Scientist"/>
        <s v="Data Scientist/Modeler II"/>
        <s v="Data Scientist III (hybrid/remote)"/>
        <s v="Research &amp; Development Engineer (Associate Scientist) - Full Time Campus"/>
        <s v="Research and Development Engineer - Co-op - Engineer or Scientist"/>
        <s v="Principal Data Scientist, Professional Services"/>
        <s v="Research Data Science, Future Leaders Graduate Program, US, 2024"/>
        <s v="Data Analytics Manager"/>
        <s v="Bioninformatic Scientist"/>
        <s v="Principal Data Scientist, Applied AI"/>
        <s v="Staff Data Scientist - Search"/>
        <s v="Senior Data Scientist - Shipping Optimization"/>
        <s v="Senior Data Scientist - Growth &amp; Lifecycle"/>
        <s v="Director, Data Scientist - Biopharma"/>
        <s v="Data Scientist (C)"/>
        <s v="Senior Data Scientist, Operations"/>
        <s v="Senior R&amp;D Data Scientist"/>
        <s v="Revenue Data Scientist - Industry Solutions"/>
        <s v="Senior Data Scientist , Search and Personalization (14498) - United States (Remote)"/>
        <s v="Senior Data Scientist (Remote)"/>
        <s v="Sr. Manager, Data Scientist - Biopharma"/>
        <s v="Sr. Geospatial Data Scientist"/>
        <s v="Data Scientist(RNAseq,Genomics,Omnics,Machine Learning,data analysis)"/>
        <s v="Data Scientist (Omics data analysis (genetics, genomics and proteomics))"/>
        <s v="Sr. Data Engineer (Remote)"/>
        <s v="Data Scientist Level III"/>
        <s v="Data Scientist/Architect/Modeler"/>
        <s v="Data Scientist, NLP"/>
        <s v="Interconnection Data Scientist"/>
        <s v="Principal - Artificial intelligence (AI)&amp; ML- Data Scientist - USC &amp; GC"/>
        <s v="Data Scientist Specialist"/>
        <s v="Database Administrator"/>
        <s v="Remote - Data Scientist"/>
        <s v="Senior Data Scientist - Applied AI"/>
        <s v="Innovation - Data Scientist"/>
        <s v="Data Science Mentor"/>
        <s v="Data Specialist"/>
        <s v="Distinguished Data Scientist"/>
        <s v="Lead Data Scientist, Economy"/>
        <s v="Senior Data Scientist, Professional Services"/>
        <s v="Data Scientist, New Product Introduction"/>
        <s v="Data Scientist, Product Engagement"/>
        <s v="Data Scientist / AI Specialist"/>
        <s v="Entry Level Data Science - December 2023 and May 2024 Grads"/>
        <s v="Data Scientist Co-op - Masters Degree"/>
        <s v="Data Architect / Data Scientist"/>
        <s v="Career Consulting Data Scientist - National - College Program 2024"/>
        <s v="Data Scientist I, Bioinformatics"/>
        <s v="Data Scientist Engineering Modeler"/>
        <s v="VIE - Strategic Operations Data Scientist - USA"/>
        <s v="Data Scientist/Software Developer"/>
        <s v="Digital Customer – Machine Learning &amp; Data Lab – Stage"/>
        <s v="Applied Artificial Intelligence Machine Learning - Sr Associate"/>
        <s v="GEN AI data scientist / Architect ( Onsite)"/>
        <s v="Entry Level Data Scientist 2023/2024"/>
        <s v="Senior Associate, Data Scientist"/>
        <s v="Senior Data Scientist, Growth"/>
        <s v="Principal Data Scientist, Delivery Technology"/>
        <s v="Sr Data Eng"/>
        <s v="Data Scientist / Statistician"/>
        <s v="Senior Data Scientist, AIML, GenAI, NLP, CV"/>
        <s v="General Engineer - Data Scientist/Statistician/Mathematician/Methodologist/Computer Scientist"/>
        <s v="Data Engineer, Python"/>
        <s v="Senior Product Manager"/>
        <s v="Ecological Modeler/Biodiversity Data Scientist (Remote)"/>
        <s v="Data Scientist Jr. / Physical Scientist Jr."/>
        <s v="Data Scientist - Senior"/>
        <s v="Cleared Data Scientist (All Levels)"/>
        <s v="Data Scientist/Developer for Big Data/Machine Learning R&amp;D"/>
        <s v="Quantitative Analytics Tech Lead - Data Scientist (Hybrid - 3 Days in Office)"/>
        <s v="Data Scientist - Python - AI/ML"/>
        <s v="Data Engineer / Data Scientist"/>
        <s v="Data Scientist Postdoc"/>
        <s v="Data Scientist 4676"/>
        <s v="Data Analyst"/>
        <s v="Data Engineer/Data Scientist"/>
        <s v="Sr. Data Scientist, Pricing Algorithms - Remote within 100 miles of Office Location"/>
        <s v="Statistician/Data Scientist - TS/SCI Required"/>
        <s v="Junior Data Scientist | TS/SCI"/>
        <s v="Machine Learning / Data Scientist"/>
        <s v="Data Scientist-II- Global Services"/>
        <s v="Data Scientist 2"/>
        <s v="Principal Data Scientist, Machine Learning"/>
        <s v="Data Scientist - Data Analytics"/>
        <s v="Senior Machine Learning Engineer"/>
        <s v="Senior Data Scientist, Machine Learning"/>
        <s v="Multi-modal Representation Learning Scientist"/>
        <s v="Data Scientist (Data Platforms &amp; Applied Intelligence)"/>
        <s v="Quality Systems Data Scientist (Hybrid or Remote)"/>
        <s v="Principal Data Scientist, Shopbop"/>
        <s v="Data Scientist II (Remote)"/>
        <s v="Research Data Analyst (Scientist)"/>
        <s v="Supply Chain Consultant - Sr. Data Scientist"/>
      </sharedItems>
    </cacheField>
    <cacheField name="Job Rating" numFmtId="170">
      <sharedItems containsString="0" containsBlank="1" containsNumber="1" minValue="1" maxValue="5"/>
    </cacheField>
    <cacheField name="Company" numFmtId="0">
      <sharedItems count="552">
        <s v="US Internal Revenue Service"/>
        <s v="Oasis Systems LLC"/>
        <s v="US Federal Bureau of Investigation"/>
        <s v="Walmart"/>
        <s v="Sam's Club"/>
        <s v="Arkansas Blue Cross and Blue Shield"/>
        <s v="Pashtek"/>
        <s v="REPS &amp; Co."/>
        <s v="APS"/>
        <s v="Freeport McMoRan"/>
        <s v="PetSmart"/>
        <s v="MST Solutions"/>
        <s v="University of Phoenix"/>
        <s v="INTEL"/>
        <s v="Cydcor"/>
        <s v="Exelixis, Inc."/>
        <s v="Abbott Laboratories"/>
        <s v="Honda Center"/>
        <s v="DeepVu"/>
        <s v="Beckman Coulter Diagnostics"/>
        <s v="Meta"/>
        <s v="REVOLVE"/>
        <s v="QSC, LLC"/>
        <s v="Intelliswift Software, Inc."/>
        <s v="Kaiser Permanente"/>
        <s v="City of Hope"/>
        <s v="Zoox"/>
        <s v="DISH"/>
        <s v="APPIC Solutions LLC"/>
        <s v="Siemens Digital Industries Software"/>
        <s v="Tesla"/>
        <s v="Lam Research"/>
        <s v="SoundThinking"/>
        <s v="Public Storage"/>
        <s v="SpaceX"/>
        <s v="Endpoint Closing"/>
        <s v="CoreLogic"/>
        <s v="Panasonic Avionics Corporation"/>
        <s v="Raptor Scientific"/>
        <s v="Nordstrom Inc"/>
        <s v="Heluna Health"/>
        <s v="CEDARS-SINAI"/>
        <s v="ManTech International Corporation"/>
        <s v="Netflix"/>
        <s v="Sonasoft Corp."/>
        <s v="LexisNexis"/>
        <s v="GRAIL"/>
        <s v="Teknatio"/>
        <s v="DUOPEAK"/>
        <s v="Intuit"/>
        <s v="eTeam Inc."/>
        <s v="TikTok"/>
        <s v="ByteDance"/>
        <s v="Atlassian"/>
        <s v="Moveworks.ai"/>
        <s v="Coupang"/>
        <s v="Study.com"/>
        <s v="Kumo"/>
        <s v="Lucid Motors"/>
        <s v="Cloudwick"/>
        <s v="PG&amp;E Corporation"/>
        <s v="SAP"/>
        <s v="Rivian"/>
        <s v="Stanford Health Care"/>
        <s v="Aptos"/>
        <s v="AppLovin"/>
        <s v="Tencent"/>
        <s v="Albertsons Companies"/>
        <s v="Tau"/>
        <s v="Galaxy Technologies"/>
        <s v="Amazon.com Services LLC"/>
        <s v="Bristol Myers Squibb"/>
        <s v="Virtus Investment Partners, Inc."/>
        <s v="SysIntelli"/>
        <s v="Airbnb"/>
        <s v="Stitch Fix"/>
        <s v="Activision"/>
        <s v="Salesforce"/>
        <s v="Foursquare"/>
        <s v="Demandbase"/>
        <s v="Forge Global"/>
        <s v="Notion"/>
        <s v="Genentech"/>
        <s v="Parafin"/>
        <s v="LiveRamp"/>
        <s v="Pinterest"/>
        <s v="Unity Technologies"/>
        <s v="Instacart"/>
        <s v="Hinge Health"/>
        <s v="Discord"/>
        <s v="Early Warning Services"/>
        <s v="Cash App"/>
        <s v="Lawrence Berkeley National Laboratory"/>
        <s v="Sephora"/>
        <s v="University of California San Francisco"/>
        <s v="BICP"/>
        <s v="Qcells"/>
        <s v="Deloitte"/>
        <s v="IDEASVOICE"/>
        <s v="Adobe"/>
        <s v="Big Data Federation"/>
        <s v="Kyla"/>
        <s v="Advance OC"/>
        <s v="Roblox"/>
        <s v="Freshworks"/>
        <s v="PlayStation Global"/>
        <s v="GE Healthcare"/>
        <s v="First American Financial Corporation"/>
        <s v="NVIDIA"/>
        <s v="ServiceNow"/>
        <s v="Colsh Consultants"/>
        <s v="Fullpower Technologies, Inc."/>
        <s v="Disney Media &amp; Entertainment Distribution"/>
        <s v="CALICO"/>
        <s v="Standard Biotools"/>
        <s v="Scismic"/>
        <s v="Stanford University"/>
        <s v="Machinify"/>
        <s v="Twitch Interactive, Inc."/>
        <s v="American Honda Motor Co"/>
        <s v="FriendFinder Networks"/>
        <s v="ICR inc."/>
        <s v="Clarity Innovations, LLC"/>
        <s v="University of Colorado"/>
        <s v="Think Bioscience"/>
        <s v="Battelle"/>
        <s v="US National Oceanic and Atmospheric Administration"/>
        <s v="Prescient Edge Federal"/>
        <s v="KBR"/>
        <s v="Udemy"/>
        <s v="VIZIO, Inc."/>
        <s v="Evolve"/>
        <s v="Excelacom"/>
        <s v="ShyftLabs"/>
        <s v="Lightsource BP"/>
        <s v="Denver Health"/>
        <s v="National Renewable Energy Laboratory"/>
        <s v="Global Healthcare Exchange, Inc."/>
        <s v="GHX"/>
        <s v="Applanix"/>
        <s v="The Travelers Companies, Inc."/>
        <s v="Connecticut Children's Medical Center"/>
        <s v="Adela, Inc."/>
        <s v="Yale University"/>
        <s v="Clifford Beers Community Care Center"/>
        <s v="The Chefs' Warehouse"/>
        <s v="Webster Financial Corp"/>
        <s v="Databricks"/>
        <s v="U.S. Securities &amp; Exchange Commission"/>
        <s v="Bloomberg BNA"/>
        <s v="US Office of the Secretary of Transportation"/>
        <s v="Visa"/>
        <s v="US National Agricultural Statistics Service"/>
        <s v="ABS Consulting"/>
        <s v="Federal Bureau of Investigation"/>
        <s v="QVine Corporation"/>
        <s v="Logistics Management Institute"/>
        <s v="US Federal Energy Regulatory Commission"/>
        <s v="US Federal Aviation Administration"/>
        <s v="Leidos"/>
        <s v="US Customs and Border Protection"/>
        <s v="IBM"/>
        <s v="Procter &amp; Gamble"/>
        <s v="Air Liquide"/>
        <s v="IQVIA"/>
        <s v="OneMain Financial"/>
        <s v="Advanced Technology and Research Corporation"/>
        <s v="WSP"/>
        <s v="Sabal Tech"/>
        <s v="Trajector"/>
        <s v="Iron EagleX"/>
        <s v="CSX"/>
        <s v="Consumer Products Games &amp; Publishing"/>
        <s v="Disney"/>
        <s v="BNY Mellon"/>
        <s v="Mastercard"/>
        <s v="Health Choice Network"/>
        <s v="Atto Trading"/>
        <s v="Arthrex"/>
        <s v="Hilton Grand Vacations"/>
        <s v="Chewy"/>
        <s v="Skylight"/>
        <s v="The Mosaic Company (Tampa, FL)"/>
        <s v="Home Depot / THD"/>
        <s v="Afterpay"/>
        <s v="Williams Consulting LLC"/>
        <s v="Capgemini"/>
        <s v="Finastra"/>
        <s v="Centers for Disease Control and Prevention"/>
        <s v="TaxSlayer"/>
        <s v="Boehringer Ingelheim Animal Health USA"/>
        <s v="AG Grace Inc"/>
        <s v="OTS Solutions"/>
        <s v="UFG Insurance"/>
        <s v="Dutech Systems"/>
        <s v="The University of Iowa"/>
        <s v="NORC at the University of Chicago"/>
        <s v="Imprivata"/>
        <s v="NielsenIQ"/>
        <s v="McDonald's Corporation"/>
        <s v="Intone Networks"/>
        <s v="RWE"/>
        <s v="DLA Piper"/>
        <s v="US Securities and Exchange Commission"/>
        <s v="HCSC"/>
        <s v="Boston Consulting Group"/>
        <s v="GroupM Nexus Xaxis"/>
        <s v="Pareto Intelligence"/>
        <s v="Fooda"/>
        <s v="Epsilon"/>
        <s v="Echo Global Logistics"/>
        <s v="Caterpillar"/>
        <s v="ABBVIE"/>
        <s v="Medline Industries Inc"/>
        <s v="Camping World"/>
        <s v="Brunswick Corporation"/>
        <s v="Ascension"/>
        <s v="The Infosoft Group"/>
        <s v="Discover Financial Services"/>
        <s v="Wintrust Financial"/>
        <s v="Motorola Solutions"/>
        <s v="Attadale Partners"/>
        <s v="Kraft Heinz Company"/>
        <s v="eimagine"/>
        <s v="Indiana University Health"/>
        <s v="Technology Solutions Partners"/>
        <s v="Bamboo Health"/>
        <s v="Galen College of Nursing"/>
        <s v="Objective Medical Systems"/>
        <s v="CGI Group, Inc."/>
        <s v="Sasol"/>
        <s v="Ochsner Health System"/>
        <s v="Rockstar Games"/>
        <s v="Blue Cross Blue Shield of Massachusetts"/>
        <s v="MASS MUTUAL FINANCIAL GROUP"/>
        <s v="WHOOP"/>
        <s v="Northeastern University"/>
        <s v="Klaviyo"/>
        <s v="Plymouth Rock Assurance"/>
        <s v="John Hancock"/>
        <s v="SimpliSafe"/>
        <s v="Physical Sciences Inc."/>
        <s v="Keystone Strategy"/>
        <s v="Archetype"/>
        <s v="MilliporeSigma"/>
        <s v="Moderna"/>
        <s v="DeepHealth"/>
        <s v="Cambridge Mobile Telematics"/>
        <s v="Johnson &amp; Johnson"/>
        <s v="TJX Companies"/>
        <s v="Vita Data Sciences"/>
        <s v="SS&amp;C"/>
        <s v="Azurity Pharmaceuticals"/>
        <s v="BTS Software Solutions"/>
        <s v="BrainTrust"/>
        <s v="Red Alpha LLC"/>
        <s v="OPS Consulting, LLC"/>
        <s v="Bytoa"/>
        <s v="University of Maryland, Baltimore"/>
        <s v="Marriott International, Inc"/>
        <s v="Hilabs"/>
        <s v="Integration Innovation, Inc."/>
        <s v="University of Maryland"/>
        <s v="Booz Allen Hamilton"/>
        <s v="eureka strategic consulting"/>
        <s v="Peraton"/>
        <s v="Fuse Engineering LLC"/>
        <s v="National Security Agency"/>
        <s v="AMERICAN SYSTEMS"/>
        <s v="US Department of the Air Force - Agency Wide"/>
        <s v="GeneDx"/>
        <s v="Eccalon LLC"/>
        <s v="University of Maryland Medical System"/>
        <s v="Caelum Research Corporation"/>
        <s v="Axle Informatics"/>
        <s v="Radiance Technologies"/>
        <s v="Parsons"/>
        <s v="Rite Pros"/>
        <s v="Stellantis"/>
        <s v="Kellogg Company"/>
        <s v="Ford Motor Company"/>
        <s v="Health Alliance Plan"/>
        <s v="DTE Energy"/>
        <s v="Gentherm"/>
        <s v="Auto-Owners Insurance"/>
        <s v="Soothsayer Analytics"/>
        <s v="Globalmax Solutions"/>
        <s v="Hearst Media Services"/>
        <s v="Federal Reserve Bank of Minneapolis"/>
        <s v="Erstom"/>
        <s v="Huntington Bank"/>
        <s v="Mayo Clinic"/>
        <s v="Gillette Children's"/>
        <s v="HR, Legal, &amp; Administration"/>
        <s v="Mercy"/>
        <s v="Maritz Inc."/>
        <s v="bioMerieux SA"/>
        <s v="BOEING"/>
        <s v="Americo"/>
        <s v="1904labs"/>
        <s v="Federal Reserve Bank of St. Louis"/>
        <s v="Camgian"/>
        <s v="Ecosystem Planning and Restoration, LLC"/>
        <s v="Helix Tech IT solution"/>
        <s v="University of North Carolina at Chapel Hill"/>
        <s v="Moody's"/>
        <s v="Ally Financial"/>
        <s v="Lowe's"/>
        <s v="Vanguard"/>
        <s v="Lincoln Financial"/>
        <s v="GSK"/>
        <s v="Blue Cross and Blue Shield of North Carolina"/>
        <s v="Hyperspace Ventures"/>
        <s v="Spalding Consulting, Inc."/>
        <s v="Abrigo"/>
        <s v="RELX"/>
        <s v="Applied Engineering, Inc"/>
        <s v="Sandhills Global, Inc."/>
        <s v="Fiserv, Inc."/>
        <s v="The State of New Hampshire"/>
        <s v="L.E.A.D Inc.- Law Enforcement Against Drugs"/>
        <s v="Verizon"/>
        <s v="Camden Coalition of Healthcare"/>
        <s v="Extreme Data Technologies"/>
        <s v="Burlington Stores"/>
        <s v="LG Electronics U.S."/>
        <s v="Veracity Software"/>
        <s v="Verdant Infotech Solutions"/>
        <s v="JPMorgan Chase &amp; Co"/>
        <s v="Horizon Blue Cross Blue Shield of New Jersey"/>
        <s v="Mars"/>
        <s v="Colgate-Palmolive"/>
        <s v="Otsuka"/>
        <s v="Genmab"/>
        <s v="Princeton University"/>
        <s v="Dataline"/>
        <s v="Merck Sharp &amp; Dohme"/>
        <s v="AmeriHealth Caritas"/>
        <s v="TRA'BIAN ENTERPRISES"/>
        <s v="S4 Market Data"/>
        <s v="University of New Mexico"/>
        <s v="Western New Mexico University"/>
        <s v="ADM Associates"/>
        <s v="Etsy"/>
        <s v="Mediacom Communications Corporation"/>
        <s v="Asana"/>
        <s v="withco"/>
        <s v="Cedar Inc"/>
        <s v="Ramp Financial"/>
        <s v="Rokt"/>
        <s v="Pfizer"/>
        <s v="Neuberger Berman"/>
        <s v="AllocateRite"/>
        <s v="Octaura"/>
        <s v="Chapter"/>
        <s v="Conde Nast"/>
        <s v="Inclusively"/>
        <s v="Barclays"/>
        <s v="Consumer Reports"/>
        <s v="Flow"/>
        <s v="Spring Health"/>
        <s v="The Associated Press"/>
        <s v="Quizlet"/>
        <s v="PayPal"/>
        <s v="New York City Housing Development Corporation (HDC)"/>
        <s v="New York City Council"/>
        <s v="Mount Sinai"/>
        <s v="Publicis Media"/>
        <s v="Ekimetrics"/>
        <s v="University of Rochester"/>
        <s v="Syracuse University"/>
        <s v="Medical Mutual of Ohio"/>
        <s v="Cleveland Clinic"/>
        <s v="Grange Insurance Company"/>
        <s v="Edaptive Computing, Inc."/>
        <s v="Ignite Fueling Innovation"/>
        <s v="CSafe Global"/>
        <s v="Nike"/>
        <s v="Amazon Web Services, Inc."/>
        <s v="INTERDIGITAL COMM CORP"/>
        <s v="IT Consulting Services"/>
        <s v="WebstaurantStore"/>
        <s v="Comcast"/>
        <s v="TechCoreGlobal"/>
        <s v="Mayvue"/>
        <s v="UPMC"/>
        <s v="The University of Pittsburgh"/>
        <s v="QVC"/>
        <s v="Movable Ink"/>
        <s v="Faire"/>
        <s v="SentiLink"/>
        <s v="Fabrx Space"/>
        <s v="SoftDev Incorporated"/>
        <s v="AKASA"/>
        <s v="Health Advocate"/>
        <s v="Coinbase"/>
        <s v="PUTNAM RECRUITING GROUP"/>
        <s v="IVID TEK INC"/>
        <s v="Coalition"/>
        <s v="RS21 Careers"/>
        <s v="Ai Vantage"/>
        <s v="Houzz"/>
        <s v="Ryden Global LLC"/>
        <s v="WEX Inc."/>
        <s v="Getty Images"/>
        <s v="Quora"/>
        <s v="Brainwave360"/>
        <s v="Nexlogica"/>
        <s v="Zartico, Inc."/>
        <s v="Konnectingtree"/>
        <s v="Syneos Health Clinical"/>
        <s v="Government Tactical Solutions"/>
        <s v="Tellus Solutions"/>
        <s v="Evolve Vacation Rentals"/>
        <s v="CrowdStrike"/>
        <s v="Kaizen Analytix"/>
        <s v="Zendesk"/>
        <s v="Fulcrum Analytics"/>
        <s v="Arch Systems, LLC"/>
        <s v="ECS Federal"/>
        <s v="Evolent Health"/>
        <s v="Source Mantra"/>
        <s v="Covenant Eyes"/>
        <s v="Green Dot Corporation"/>
        <s v="RB Consulting Inc."/>
        <s v="ClassLink, Inc."/>
        <s v="Zynga"/>
        <s v="Ancestry"/>
        <s v="AppsIntegration.Inc"/>
        <s v="RSM US LLP"/>
        <s v="Tech brothers infoservices"/>
        <s v="DonorSearch"/>
        <s v="Chegg"/>
        <s v="Juristat"/>
        <s v="Q2A Media Services Pvt Ltd"/>
        <s v="Fidelity Investments"/>
        <s v="Oak Ridge National Laboratory"/>
        <s v="Torc Robotics"/>
        <s v="Electronic Arts"/>
        <s v="Realtor.com Careers"/>
        <s v="Signature Science, LLC"/>
        <s v="Wise Equation Solutions"/>
        <s v="Pattern Bioscience"/>
        <s v="Iodine Software, LLC"/>
        <s v="Macmillan Learning"/>
        <s v="J80 CINTRA US SERVICES LLC"/>
        <s v="Ferrovial external"/>
        <s v="NXP Semiconductors"/>
        <s v="Pinnacle Soft Solutions"/>
        <s v="AT&amp;T"/>
        <s v="Talent Group"/>
        <s v="Children's Health"/>
        <s v="MedeAnalytics"/>
        <s v="Mary Kay Inc"/>
        <s v="Federal Reserve Bank of Dallas"/>
        <s v="EVRY India"/>
        <s v="Mercer"/>
        <s v="UT Southwestern"/>
        <s v="Shell Energy Solutions"/>
        <s v="Chirality Research"/>
        <s v="Petrabytes Corporation"/>
        <s v="LA Fitness"/>
        <s v="Michaels Stores, Inc."/>
        <s v="Wavestone"/>
        <s v="wiselinkglobal"/>
        <s v="Software Bloc"/>
        <s v="Cognizant Technology Solutions"/>
        <s v="Frost Bank"/>
        <s v="Alpha Facilities Solutions"/>
        <s v="LinQuest Corporation"/>
        <s v="University Health"/>
        <s v="Cal-Tex Protective Coatings, Inc."/>
        <s v="HP"/>
        <s v="CPChem"/>
        <s v="NYC Careers"/>
        <s v="New York Life Insurance Co"/>
        <s v="High Tech High"/>
        <s v="Grammarly, Inc."/>
        <s v="Gopuff"/>
        <s v="Rocket Software"/>
        <s v="McAfee, LLC"/>
        <s v="Bayer"/>
        <s v="Morrison &amp; Foerster"/>
        <s v="Public Consulting Group"/>
        <s v="GEHA"/>
        <s v="BeVera Solutions LLC"/>
        <s v="LiveView Technologies"/>
        <s v="The JAAW Group"/>
        <s v="Pattern"/>
        <s v="Podium"/>
        <s v="US Veterans Health Administration"/>
        <s v="CloudBerg Tec"/>
        <s v="Bonneville Communications"/>
        <s v="Breeze Airways™"/>
        <s v="Zartico"/>
        <s v="Changeis"/>
        <s v="US Cybersecurity and Infrastructure Security Agency"/>
        <s v="NatureServe"/>
        <s v="Na Oiwi Kane"/>
        <s v="Tecolote Research, Inc."/>
        <s v="The Swift Group"/>
        <s v="Axiologic Solutions"/>
        <s v="Noblis"/>
        <s v="Assertive Professionals"/>
        <s v="PearlX"/>
        <s v="Dollar Tree"/>
        <s v="Nationwide IT Services, Inc"/>
        <s v="IntelliDyne"/>
        <s v="ADVANCED MANAGEMENT STRATEGIES GROUP(AMSG)"/>
        <s v="People, Technology &amp; Processes"/>
        <s v="BTAS"/>
        <s v="HawkEye360"/>
        <s v="Cognowiz"/>
        <s v="D-Tech"/>
        <s v="Arcfield"/>
        <s v="Cognowiz solutions LLC"/>
        <s v="Freddie Mac"/>
        <s v="BAE Systems"/>
        <s v="Cyberhill Partners LLC"/>
        <s v="Cognitio"/>
        <s v="Orbis Operations, LLC"/>
        <s v="JANUS Research Group"/>
        <s v="Jefferson Lab"/>
        <s v="Old Dominion University"/>
        <s v="MetroStar"/>
        <s v="EpochGeo"/>
        <s v="Octo"/>
        <s v="Aderas, Inc"/>
        <s v="Altria"/>
        <s v="Ampcus Incorporated"/>
        <s v="NewMarket Services Corporation"/>
        <s v="CarMax"/>
        <s v="Integrated Intel Solutions"/>
        <s v="Connect Talent Solutions"/>
        <s v="Docugami"/>
        <s v="f5"/>
        <s v="Microsoft"/>
        <s v="Rec Room"/>
        <s v="Costco Wholesale"/>
        <s v="Remitly"/>
        <s v="Block"/>
        <s v="Novo Nordisk"/>
        <s v="Conversica"/>
        <s v="University of Washington"/>
        <s v="Banfield, The Pet Hospital"/>
        <s v="Schreiber Foods"/>
        <s v="Bop LLC"/>
        <s v="KOHLS"/>
        <s v="BRADY WORLDWIDE INC"/>
        <s v="Medical College of Wisconsin"/>
        <s v="Colony Brands, Inc."/>
        <s v="Kimberly-Clark"/>
      </sharedItems>
    </cacheField>
    <cacheField name="City" numFmtId="0">
      <sharedItems count="240">
        <s v="Huntsville"/>
        <s v="Bentonville"/>
        <s v="Little Rock"/>
        <s v="Arizona City"/>
        <s v="Phoenix"/>
        <s v="Agoura Hills"/>
        <s v="Alameda"/>
        <s v="Anaheim"/>
        <s v="Berkeley"/>
        <s v="Brea"/>
        <s v="Burlingame"/>
        <s v="Cerritos"/>
        <s v="Costa Mesa"/>
        <s v="Culver City"/>
        <s v="Downey"/>
        <s v="Duarte"/>
        <s v="Folsom"/>
        <s v="Foster City"/>
        <s v="Fremont"/>
        <s v="Glendale"/>
        <s v="Hawthorne"/>
        <s v="Irvine"/>
        <s v="Livermore"/>
        <s v="Los Angeles"/>
        <s v="Los Gatos"/>
        <s v="Menlo Park"/>
        <s v="Mountain View"/>
        <s v="Newark"/>
        <s v="Oakland"/>
        <s v="Palo Alto"/>
        <s v="Pleasanton"/>
        <s v="Redwood City"/>
        <s v="Riverside"/>
        <s v="San Bruno"/>
        <s v="San Diego"/>
        <s v="San Francisco"/>
        <s v="San Jose"/>
        <s v="San Juan Capistrano"/>
        <s v="San Mateo"/>
        <s v="San Ramon"/>
        <s v="Santa Ana"/>
        <s v="Santa Clara"/>
        <s v="Santa Cruz"/>
        <s v="Santa Monica"/>
        <s v="South San Francisco"/>
        <s v="Stanford"/>
        <s v="Sunnyvale"/>
        <s v="Unspecified"/>
        <s v="Aurora"/>
        <s v="Boulder"/>
        <s v="Colorado Springs"/>
        <s v="Denver"/>
        <s v="Golden"/>
        <s v="Louisville"/>
        <s v="Pueblo"/>
        <s v="Westminster"/>
        <s v="Hartford"/>
        <s v="New Haven"/>
        <s v="Ridgefield"/>
        <s v="Stamford"/>
        <s v="Washington"/>
        <s v="Dover"/>
        <s v="Newport"/>
        <s v="Wilmington"/>
        <s v="Fort Lauderdale"/>
        <s v="Gainesville"/>
        <s v="Hurlburt Field"/>
        <s v="Jacksonville"/>
        <s v="Kissimmee"/>
        <s v="Lake Mary"/>
        <s v="Miami"/>
        <s v="Miami Beach"/>
        <s v="Naples"/>
        <s v="Orlando"/>
        <s v="Plantation"/>
        <s v="Sarasota"/>
        <s v="Tampa"/>
        <s v="Atlanta"/>
        <s v="Augusta"/>
        <s v="Duluth"/>
        <s v="Fort Gordon"/>
        <s v="Gordon"/>
        <s v="Cedar Rapids"/>
        <s v="Des Moines"/>
        <s v="Iowa City"/>
        <s v="Chicago"/>
        <s v="Chillicothe"/>
        <s v="Crystal Lake"/>
        <s v="Libertyville"/>
        <s v="Lincolnshire"/>
        <s v="Mettawa"/>
        <s v="Morton"/>
        <s v="Oak Brook"/>
        <s v="Riverwoods"/>
        <s v="Rosemont"/>
        <s v="Schaumburg"/>
        <s v="Indianapolis"/>
        <s v="Olathe"/>
        <s v="Houma"/>
        <s v="Lafayette"/>
        <s v="Lake Charles"/>
        <s v="New Orleans"/>
        <s v="Andover"/>
        <s v="Boston"/>
        <s v="Burlington"/>
        <s v="Cambridge"/>
        <s v="Danvers"/>
        <s v="Marlborough"/>
        <s v="Waltham"/>
        <s v="Woburn"/>
        <s v="Worcester"/>
        <s v="Annapolis Junction"/>
        <s v="Baltimore"/>
        <s v="Bethesda"/>
        <s v="California"/>
        <s v="College Park"/>
        <s v="Columbia"/>
        <s v="Fort Meade"/>
        <s v="Fort Washington"/>
        <s v="Gaithersburg"/>
        <s v="Hanover"/>
        <s v="Linthicum Heights"/>
        <s v="Rockville"/>
        <s v="Suitland"/>
        <s v="Portland"/>
        <s v="Auburn Hills"/>
        <s v="Battle Creek"/>
        <s v="Dearborn"/>
        <s v="Detroit"/>
        <s v="Farmington Hills"/>
        <s v="Lansing"/>
        <s v="Livonia"/>
        <s v="Rochester"/>
        <s v="Troy"/>
        <s v="Minneapolis"/>
        <s v="Plymouth"/>
        <s v="Saint Paul"/>
        <s v="Sartell"/>
        <s v="Chesterfield"/>
        <s v="Fenton"/>
        <s v="Hazelwood"/>
        <s v="Kansas City"/>
        <s v="Saint Louis"/>
        <s v="Starkville"/>
        <s v="Cary"/>
        <s v="Chapel Hill"/>
        <s v="Charlotte"/>
        <s v="Durham"/>
        <s v="Greensboro"/>
        <s v="Havelock"/>
        <s v="Raleigh"/>
        <s v="Fargo"/>
        <s v="Lincoln"/>
        <s v="Concord"/>
        <s v="Allentown"/>
        <s v="Basking Ridge"/>
        <s v="Camden"/>
        <s v="East Orange"/>
        <s v="Edgewater Park"/>
        <s v="Englewood Cliffs"/>
        <s v="Iselin"/>
        <s v="Jersey City"/>
        <s v="Piscataway"/>
        <s v="Princeton"/>
        <s v="Rahway"/>
        <s v="Robbinsville"/>
        <s v="Secaucus"/>
        <s v="Titusville"/>
        <s v="Trenton"/>
        <s v="Albuquerque"/>
        <s v="Silver City"/>
        <s v="Reno"/>
        <s v="Brooklyn"/>
        <s v="Chester"/>
        <s v="New York"/>
        <s v="Syracuse"/>
        <s v="Cleveland"/>
        <s v="Columbus"/>
        <s v="Dayton"/>
        <s v="Mason"/>
        <s v="Monroe"/>
        <s v="Beaverton"/>
        <s v="Collegeville"/>
        <s v="Conshohocken"/>
        <s v="Fairless Hills"/>
        <s v="Lititz"/>
        <s v="Philadelphia"/>
        <s v="Pittsburgh"/>
        <s v="West Chester"/>
        <s v="Remote"/>
        <s v="Smithfield"/>
        <s v="Oak Ridge"/>
        <s v="Austin"/>
        <s v="Cedar Park"/>
        <s v="Dallas"/>
        <s v="Houston"/>
        <s v="Irving"/>
        <s v="Paris"/>
        <s v="Plano"/>
        <s v="San Antonio"/>
        <s v="Schertz"/>
        <s v="Spring"/>
        <s v="The Woodlands"/>
        <s v="Westlake"/>
        <s v="Manhattan"/>
        <s v="New York State"/>
        <s v="Point Loma"/>
        <s v="American Fork"/>
        <s v="Cottonwood Heights"/>
        <s v="Lehi"/>
        <s v="Salt Lake City"/>
        <s v="Arlington"/>
        <s v="Ashburn"/>
        <s v="Bowling Green"/>
        <s v="Chantilly"/>
        <s v="Charlottesville"/>
        <s v="Chesapeake"/>
        <s v="Fairfax"/>
        <s v="Falls Church"/>
        <s v="Fort Eustis"/>
        <s v="Hampton"/>
        <s v="Herndon"/>
        <s v="McLean"/>
        <s v="Newport News"/>
        <s v="Norfolk"/>
        <s v="Quantico"/>
        <s v="Reston"/>
        <s v="Richmond"/>
        <s v="Springfield"/>
        <s v="Bellevue"/>
        <s v="Kirkland"/>
        <s v="Liberty Lake"/>
        <s v="Redmond"/>
        <s v="Seattle"/>
        <s v="Vancouver"/>
        <s v="Green Bay"/>
        <s v="Madison"/>
        <s v="Menomonee Falls"/>
        <s v="Milwaukee"/>
        <s v="Neenah"/>
      </sharedItems>
    </cacheField>
    <cacheField name="State" numFmtId="0">
      <sharedItems count="43">
        <s v="AL"/>
        <s v="AR"/>
        <s v="AZ"/>
        <s v="CA"/>
        <s v="CO"/>
        <s v="CT"/>
        <s v="DC"/>
        <s v="DE"/>
        <s v="FL"/>
        <s v="GA"/>
        <s v="IA"/>
        <s v="IL"/>
        <s v="IN"/>
        <s v="KS"/>
        <s v="KY"/>
        <s v="LA"/>
        <s v="MA"/>
        <s v="MD"/>
        <s v="ME"/>
        <s v="MI"/>
        <s v="MN"/>
        <s v="MO"/>
        <s v="MS"/>
        <s v="NC"/>
        <s v="ND"/>
        <s v="NE"/>
        <s v="NH"/>
        <s v="NJ"/>
        <s v="NM"/>
        <s v="NV"/>
        <s v="NY"/>
        <s v="OH"/>
        <s v="OR"/>
        <s v="PA"/>
        <s v="Remote"/>
        <s v="RI"/>
        <s v="TN"/>
        <s v="TX"/>
        <s v="Unspecified"/>
        <s v="UT"/>
        <s v="VA"/>
        <s v="WA"/>
        <s v="WI"/>
      </sharedItems>
    </cacheField>
    <cacheField name="Miniumum Salary" numFmtId="169">
      <sharedItems containsSemiMixedTypes="0" containsString="0" containsNumber="1" minValue="5000" maxValue="310000"/>
    </cacheField>
    <cacheField name="Maximum Salary" numFmtId="169">
      <sharedItems containsSemiMixedTypes="0" containsString="0" containsNumber="1" minValue="7000" maxValue="395000"/>
    </cacheField>
    <cacheField name="Average Salary" numFmtId="169">
      <sharedItems containsSemiMixedTypes="0" containsString="0" containsNumber="1" minValue="6000" maxValue="334500"/>
    </cacheField>
    <cacheField name="Requires SQL" numFmtId="0">
      <sharedItems count="2">
        <s v="No"/>
        <s v="Yes"/>
      </sharedItems>
    </cacheField>
    <cacheField name="Requires Python" numFmtId="0">
      <sharedItems count="2">
        <s v="No"/>
        <s v="Yes"/>
      </sharedItems>
    </cacheField>
    <cacheField name="Requires Tableau" numFmtId="0">
      <sharedItems count="2">
        <s v="No"/>
        <s v="Yes"/>
      </sharedItems>
    </cacheField>
    <cacheField name="Requires Power BI" numFmtId="0">
      <sharedItems count="2">
        <s v="No"/>
        <s v="Yes"/>
      </sharedItems>
    </cacheField>
    <cacheField name="On Site" numFmtId="0">
      <sharedItems count="2">
        <s v="On-Site"/>
        <s v="Remote"/>
      </sharedItems>
    </cacheField>
  </cacheFields>
  <extLst>
    <ext xmlns:x14="http://schemas.microsoft.com/office/spreadsheetml/2009/9/main" uri="{725AE2AE-9491-48be-B2B4-4EB974FC3084}">
      <x14:pivotCacheDefinition pivotCacheId="559692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9">
  <r>
    <x v="0"/>
    <n v="3.6"/>
    <x v="0"/>
    <x v="0"/>
    <x v="0"/>
    <n v="116000"/>
    <n v="184000"/>
    <n v="150000"/>
    <x v="0"/>
    <x v="0"/>
    <x v="0"/>
    <x v="0"/>
    <x v="0"/>
  </r>
  <r>
    <x v="0"/>
    <n v="3.6"/>
    <x v="0"/>
    <x v="0"/>
    <x v="0"/>
    <n v="116000"/>
    <n v="184000"/>
    <n v="150000"/>
    <x v="0"/>
    <x v="0"/>
    <x v="0"/>
    <x v="0"/>
    <x v="0"/>
  </r>
  <r>
    <x v="0"/>
    <n v="4.4000000000000004"/>
    <x v="1"/>
    <x v="0"/>
    <x v="0"/>
    <n v="83000"/>
    <n v="123000"/>
    <n v="103000"/>
    <x v="0"/>
    <x v="0"/>
    <x v="0"/>
    <x v="0"/>
    <x v="0"/>
  </r>
  <r>
    <x v="0"/>
    <n v="4.0999999999999996"/>
    <x v="2"/>
    <x v="0"/>
    <x v="0"/>
    <n v="59000"/>
    <n v="130000"/>
    <n v="94500"/>
    <x v="0"/>
    <x v="0"/>
    <x v="0"/>
    <x v="0"/>
    <x v="0"/>
  </r>
  <r>
    <x v="1"/>
    <n v="3.4"/>
    <x v="3"/>
    <x v="1"/>
    <x v="1"/>
    <n v="103000"/>
    <n v="148000"/>
    <n v="125500"/>
    <x v="0"/>
    <x v="1"/>
    <x v="0"/>
    <x v="0"/>
    <x v="0"/>
  </r>
  <r>
    <x v="2"/>
    <n v="3.3"/>
    <x v="4"/>
    <x v="1"/>
    <x v="1"/>
    <n v="85000"/>
    <n v="127000"/>
    <n v="106000"/>
    <x v="0"/>
    <x v="1"/>
    <x v="0"/>
    <x v="0"/>
    <x v="0"/>
  </r>
  <r>
    <x v="0"/>
    <n v="4.0999999999999996"/>
    <x v="5"/>
    <x v="2"/>
    <x v="1"/>
    <n v="76000"/>
    <n v="101000"/>
    <n v="88500"/>
    <x v="0"/>
    <x v="0"/>
    <x v="0"/>
    <x v="0"/>
    <x v="0"/>
  </r>
  <r>
    <x v="0"/>
    <m/>
    <x v="6"/>
    <x v="3"/>
    <x v="2"/>
    <n v="106000"/>
    <n v="168000"/>
    <n v="137000"/>
    <x v="0"/>
    <x v="0"/>
    <x v="0"/>
    <x v="0"/>
    <x v="0"/>
  </r>
  <r>
    <x v="3"/>
    <n v="4.5"/>
    <x v="7"/>
    <x v="3"/>
    <x v="2"/>
    <n v="79000"/>
    <n v="114000"/>
    <n v="96500"/>
    <x v="0"/>
    <x v="0"/>
    <x v="0"/>
    <x v="0"/>
    <x v="0"/>
  </r>
  <r>
    <x v="4"/>
    <n v="4.0999999999999996"/>
    <x v="8"/>
    <x v="4"/>
    <x v="2"/>
    <n v="100000"/>
    <n v="129000"/>
    <n v="114500"/>
    <x v="0"/>
    <x v="0"/>
    <x v="0"/>
    <x v="0"/>
    <x v="0"/>
  </r>
  <r>
    <x v="5"/>
    <n v="4.0999999999999996"/>
    <x v="9"/>
    <x v="4"/>
    <x v="2"/>
    <n v="92000"/>
    <n v="122000"/>
    <n v="107000"/>
    <x v="0"/>
    <x v="0"/>
    <x v="0"/>
    <x v="0"/>
    <x v="0"/>
  </r>
  <r>
    <x v="0"/>
    <n v="3.3"/>
    <x v="10"/>
    <x v="4"/>
    <x v="2"/>
    <n v="84000"/>
    <n v="121000"/>
    <n v="102500"/>
    <x v="0"/>
    <x v="0"/>
    <x v="0"/>
    <x v="0"/>
    <x v="0"/>
  </r>
  <r>
    <x v="3"/>
    <n v="4.2"/>
    <x v="11"/>
    <x v="4"/>
    <x v="2"/>
    <n v="80000"/>
    <n v="113000"/>
    <n v="96500"/>
    <x v="0"/>
    <x v="0"/>
    <x v="0"/>
    <x v="0"/>
    <x v="0"/>
  </r>
  <r>
    <x v="6"/>
    <n v="4.0999999999999996"/>
    <x v="12"/>
    <x v="4"/>
    <x v="2"/>
    <n v="80000"/>
    <n v="80000"/>
    <n v="80000"/>
    <x v="0"/>
    <x v="0"/>
    <x v="0"/>
    <x v="0"/>
    <x v="0"/>
  </r>
  <r>
    <x v="7"/>
    <n v="4.0999999999999996"/>
    <x v="13"/>
    <x v="4"/>
    <x v="2"/>
    <n v="52000"/>
    <n v="200000"/>
    <n v="126000"/>
    <x v="1"/>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8"/>
    <n v="4.3"/>
    <x v="14"/>
    <x v="5"/>
    <x v="3"/>
    <n v="145000"/>
    <n v="145000"/>
    <n v="145000"/>
    <x v="0"/>
    <x v="0"/>
    <x v="0"/>
    <x v="0"/>
    <x v="0"/>
  </r>
  <r>
    <x v="9"/>
    <n v="2.8"/>
    <x v="15"/>
    <x v="6"/>
    <x v="3"/>
    <n v="150000"/>
    <n v="219000"/>
    <n v="184500"/>
    <x v="0"/>
    <x v="0"/>
    <x v="0"/>
    <x v="0"/>
    <x v="0"/>
  </r>
  <r>
    <x v="0"/>
    <n v="3.8"/>
    <x v="16"/>
    <x v="6"/>
    <x v="3"/>
    <n v="82000"/>
    <n v="164000"/>
    <n v="123000"/>
    <x v="0"/>
    <x v="0"/>
    <x v="0"/>
    <x v="0"/>
    <x v="0"/>
  </r>
  <r>
    <x v="10"/>
    <n v="4"/>
    <x v="17"/>
    <x v="7"/>
    <x v="3"/>
    <n v="110000"/>
    <n v="134000"/>
    <n v="122000"/>
    <x v="0"/>
    <x v="0"/>
    <x v="0"/>
    <x v="0"/>
    <x v="0"/>
  </r>
  <r>
    <x v="11"/>
    <m/>
    <x v="18"/>
    <x v="8"/>
    <x v="3"/>
    <n v="109000"/>
    <n v="173000"/>
    <n v="141000"/>
    <x v="0"/>
    <x v="0"/>
    <x v="0"/>
    <x v="0"/>
    <x v="0"/>
  </r>
  <r>
    <x v="12"/>
    <n v="3.6"/>
    <x v="19"/>
    <x v="9"/>
    <x v="3"/>
    <n v="96000"/>
    <n v="134000"/>
    <n v="115000"/>
    <x v="0"/>
    <x v="0"/>
    <x v="0"/>
    <x v="0"/>
    <x v="0"/>
  </r>
  <r>
    <x v="13"/>
    <n v="3.9"/>
    <x v="20"/>
    <x v="10"/>
    <x v="3"/>
    <n v="132000"/>
    <n v="196000"/>
    <n v="164000"/>
    <x v="0"/>
    <x v="0"/>
    <x v="0"/>
    <x v="0"/>
    <x v="0"/>
  </r>
  <r>
    <x v="0"/>
    <n v="2.7"/>
    <x v="21"/>
    <x v="11"/>
    <x v="3"/>
    <n v="90000"/>
    <n v="120000"/>
    <n v="105000"/>
    <x v="0"/>
    <x v="0"/>
    <x v="0"/>
    <x v="0"/>
    <x v="0"/>
  </r>
  <r>
    <x v="8"/>
    <n v="4"/>
    <x v="22"/>
    <x v="12"/>
    <x v="3"/>
    <n v="143000"/>
    <n v="203000"/>
    <n v="173000"/>
    <x v="0"/>
    <x v="0"/>
    <x v="0"/>
    <x v="0"/>
    <x v="0"/>
  </r>
  <r>
    <x v="0"/>
    <n v="4.0999999999999996"/>
    <x v="23"/>
    <x v="13"/>
    <x v="3"/>
    <n v="151840"/>
    <n v="158080"/>
    <n v="154960"/>
    <x v="0"/>
    <x v="0"/>
    <x v="0"/>
    <x v="0"/>
    <x v="0"/>
  </r>
  <r>
    <x v="14"/>
    <n v="3.9"/>
    <x v="24"/>
    <x v="14"/>
    <x v="3"/>
    <n v="155000"/>
    <n v="201000"/>
    <n v="178000"/>
    <x v="0"/>
    <x v="0"/>
    <x v="0"/>
    <x v="0"/>
    <x v="0"/>
  </r>
  <r>
    <x v="15"/>
    <n v="3.9"/>
    <x v="25"/>
    <x v="15"/>
    <x v="3"/>
    <n v="100464"/>
    <n v="160742.39999999999"/>
    <n v="130603.2"/>
    <x v="0"/>
    <x v="0"/>
    <x v="0"/>
    <x v="0"/>
    <x v="0"/>
  </r>
  <r>
    <x v="16"/>
    <n v="4.0999999999999996"/>
    <x v="13"/>
    <x v="16"/>
    <x v="3"/>
    <n v="82000"/>
    <n v="123000"/>
    <n v="102500"/>
    <x v="0"/>
    <x v="0"/>
    <x v="0"/>
    <x v="0"/>
    <x v="0"/>
  </r>
  <r>
    <x v="0"/>
    <n v="4.0999999999999996"/>
    <x v="26"/>
    <x v="17"/>
    <x v="3"/>
    <n v="204000"/>
    <n v="294000"/>
    <n v="249000"/>
    <x v="0"/>
    <x v="0"/>
    <x v="0"/>
    <x v="0"/>
    <x v="0"/>
  </r>
  <r>
    <x v="17"/>
    <n v="2.9"/>
    <x v="27"/>
    <x v="17"/>
    <x v="3"/>
    <n v="119000"/>
    <n v="145000"/>
    <n v="132000"/>
    <x v="0"/>
    <x v="0"/>
    <x v="0"/>
    <x v="0"/>
    <x v="0"/>
  </r>
  <r>
    <x v="0"/>
    <n v="5"/>
    <x v="28"/>
    <x v="17"/>
    <x v="3"/>
    <n v="93600"/>
    <n v="114400"/>
    <n v="104000"/>
    <x v="0"/>
    <x v="0"/>
    <x v="0"/>
    <x v="0"/>
    <x v="0"/>
  </r>
  <r>
    <x v="18"/>
    <n v="4.2"/>
    <x v="29"/>
    <x v="18"/>
    <x v="3"/>
    <n v="164000"/>
    <n v="262000"/>
    <n v="213000"/>
    <x v="0"/>
    <x v="0"/>
    <x v="0"/>
    <x v="0"/>
    <x v="0"/>
  </r>
  <r>
    <x v="19"/>
    <n v="3.6"/>
    <x v="30"/>
    <x v="18"/>
    <x v="3"/>
    <n v="143000"/>
    <n v="194000"/>
    <n v="168500"/>
    <x v="0"/>
    <x v="0"/>
    <x v="0"/>
    <x v="0"/>
    <x v="0"/>
  </r>
  <r>
    <x v="20"/>
    <n v="4"/>
    <x v="31"/>
    <x v="18"/>
    <x v="3"/>
    <n v="126000"/>
    <n v="270000"/>
    <n v="198000"/>
    <x v="0"/>
    <x v="0"/>
    <x v="0"/>
    <x v="0"/>
    <x v="0"/>
  </r>
  <r>
    <x v="0"/>
    <n v="3.5"/>
    <x v="32"/>
    <x v="18"/>
    <x v="3"/>
    <n v="80000"/>
    <n v="90000"/>
    <n v="85000"/>
    <x v="0"/>
    <x v="0"/>
    <x v="0"/>
    <x v="0"/>
    <x v="0"/>
  </r>
  <r>
    <x v="6"/>
    <n v="2.9"/>
    <x v="33"/>
    <x v="19"/>
    <x v="3"/>
    <n v="140000"/>
    <n v="180000"/>
    <n v="160000"/>
    <x v="0"/>
    <x v="0"/>
    <x v="0"/>
    <x v="0"/>
    <x v="0"/>
  </r>
  <r>
    <x v="21"/>
    <n v="3.9"/>
    <x v="34"/>
    <x v="20"/>
    <x v="3"/>
    <n v="160000"/>
    <n v="220000"/>
    <n v="190000"/>
    <x v="0"/>
    <x v="0"/>
    <x v="0"/>
    <x v="0"/>
    <x v="0"/>
  </r>
  <r>
    <x v="8"/>
    <n v="3.8"/>
    <x v="35"/>
    <x v="21"/>
    <x v="3"/>
    <n v="145000"/>
    <n v="185000"/>
    <n v="165000"/>
    <x v="0"/>
    <x v="0"/>
    <x v="0"/>
    <x v="0"/>
    <x v="0"/>
  </r>
  <r>
    <x v="22"/>
    <n v="3.9"/>
    <x v="36"/>
    <x v="21"/>
    <x v="3"/>
    <n v="136000"/>
    <n v="155000"/>
    <n v="145500"/>
    <x v="0"/>
    <x v="0"/>
    <x v="0"/>
    <x v="0"/>
    <x v="0"/>
  </r>
  <r>
    <x v="0"/>
    <n v="3.2"/>
    <x v="37"/>
    <x v="21"/>
    <x v="3"/>
    <n v="74000"/>
    <n v="124000"/>
    <n v="99000"/>
    <x v="0"/>
    <x v="0"/>
    <x v="0"/>
    <x v="0"/>
    <x v="0"/>
  </r>
  <r>
    <x v="23"/>
    <n v="5"/>
    <x v="38"/>
    <x v="22"/>
    <x v="3"/>
    <n v="110000"/>
    <n v="150000"/>
    <n v="130000"/>
    <x v="0"/>
    <x v="0"/>
    <x v="0"/>
    <x v="0"/>
    <x v="0"/>
  </r>
  <r>
    <x v="24"/>
    <m/>
    <x v="38"/>
    <x v="22"/>
    <x v="3"/>
    <n v="110000"/>
    <n v="150000"/>
    <n v="130000"/>
    <x v="0"/>
    <x v="0"/>
    <x v="0"/>
    <x v="0"/>
    <x v="0"/>
  </r>
  <r>
    <x v="25"/>
    <n v="3.7"/>
    <x v="39"/>
    <x v="23"/>
    <x v="3"/>
    <n v="130000"/>
    <n v="202000"/>
    <n v="166000"/>
    <x v="0"/>
    <x v="0"/>
    <x v="0"/>
    <x v="0"/>
    <x v="0"/>
  </r>
  <r>
    <x v="26"/>
    <n v="3.3"/>
    <x v="40"/>
    <x v="23"/>
    <x v="3"/>
    <n v="106080"/>
    <n v="142937.60000000001"/>
    <n v="124508.8"/>
    <x v="0"/>
    <x v="0"/>
    <x v="0"/>
    <x v="0"/>
    <x v="0"/>
  </r>
  <r>
    <x v="27"/>
    <n v="4.0999999999999996"/>
    <x v="41"/>
    <x v="23"/>
    <x v="3"/>
    <n v="78000"/>
    <n v="133000"/>
    <n v="105500"/>
    <x v="0"/>
    <x v="0"/>
    <x v="0"/>
    <x v="0"/>
    <x v="0"/>
  </r>
  <r>
    <x v="27"/>
    <n v="4.0999999999999996"/>
    <x v="41"/>
    <x v="23"/>
    <x v="3"/>
    <n v="78000"/>
    <n v="133000"/>
    <n v="105500"/>
    <x v="0"/>
    <x v="0"/>
    <x v="0"/>
    <x v="0"/>
    <x v="0"/>
  </r>
  <r>
    <x v="0"/>
    <n v="4.3"/>
    <x v="42"/>
    <x v="23"/>
    <x v="3"/>
    <n v="77000"/>
    <n v="129000"/>
    <n v="103000"/>
    <x v="0"/>
    <x v="0"/>
    <x v="0"/>
    <x v="0"/>
    <x v="0"/>
  </r>
  <r>
    <x v="28"/>
    <n v="4.2"/>
    <x v="43"/>
    <x v="24"/>
    <x v="3"/>
    <n v="126000"/>
    <n v="195000"/>
    <n v="160500"/>
    <x v="0"/>
    <x v="0"/>
    <x v="0"/>
    <x v="0"/>
    <x v="0"/>
  </r>
  <r>
    <x v="0"/>
    <n v="3.9"/>
    <x v="20"/>
    <x v="25"/>
    <x v="3"/>
    <n v="197000"/>
    <n v="269000"/>
    <n v="233000"/>
    <x v="0"/>
    <x v="0"/>
    <x v="0"/>
    <x v="0"/>
    <x v="0"/>
  </r>
  <r>
    <x v="29"/>
    <n v="3.4"/>
    <x v="44"/>
    <x v="25"/>
    <x v="3"/>
    <n v="160000"/>
    <n v="225000"/>
    <n v="192500"/>
    <x v="0"/>
    <x v="0"/>
    <x v="0"/>
    <x v="0"/>
    <x v="0"/>
  </r>
  <r>
    <x v="22"/>
    <n v="3.9"/>
    <x v="45"/>
    <x v="25"/>
    <x v="3"/>
    <n v="134000"/>
    <n v="248000"/>
    <n v="191000"/>
    <x v="0"/>
    <x v="1"/>
    <x v="0"/>
    <x v="0"/>
    <x v="0"/>
  </r>
  <r>
    <x v="30"/>
    <n v="3.5"/>
    <x v="46"/>
    <x v="25"/>
    <x v="3"/>
    <n v="113000"/>
    <n v="161000"/>
    <n v="137000"/>
    <x v="0"/>
    <x v="0"/>
    <x v="0"/>
    <x v="0"/>
    <x v="0"/>
  </r>
  <r>
    <x v="0"/>
    <n v="4.7"/>
    <x v="47"/>
    <x v="25"/>
    <x v="3"/>
    <n v="106000"/>
    <n v="153000"/>
    <n v="129500"/>
    <x v="0"/>
    <x v="0"/>
    <x v="0"/>
    <x v="0"/>
    <x v="0"/>
  </r>
  <r>
    <x v="3"/>
    <m/>
    <x v="48"/>
    <x v="25"/>
    <x v="3"/>
    <n v="91000"/>
    <n v="130000"/>
    <n v="110500"/>
    <x v="0"/>
    <x v="0"/>
    <x v="0"/>
    <x v="0"/>
    <x v="0"/>
  </r>
  <r>
    <x v="31"/>
    <n v="4.5"/>
    <x v="49"/>
    <x v="26"/>
    <x v="3"/>
    <n v="157000"/>
    <n v="199000"/>
    <n v="178000"/>
    <x v="0"/>
    <x v="0"/>
    <x v="0"/>
    <x v="0"/>
    <x v="0"/>
  </r>
  <r>
    <x v="31"/>
    <n v="4.5"/>
    <x v="49"/>
    <x v="26"/>
    <x v="3"/>
    <n v="157000"/>
    <n v="199000"/>
    <n v="178000"/>
    <x v="0"/>
    <x v="0"/>
    <x v="0"/>
    <x v="0"/>
    <x v="0"/>
  </r>
  <r>
    <x v="8"/>
    <n v="4.2"/>
    <x v="50"/>
    <x v="26"/>
    <x v="3"/>
    <n v="156000"/>
    <n v="166400"/>
    <n v="161200"/>
    <x v="0"/>
    <x v="0"/>
    <x v="0"/>
    <x v="0"/>
    <x v="0"/>
  </r>
  <r>
    <x v="32"/>
    <n v="3.5"/>
    <x v="51"/>
    <x v="26"/>
    <x v="3"/>
    <n v="153000"/>
    <n v="296000"/>
    <n v="224500"/>
    <x v="0"/>
    <x v="0"/>
    <x v="0"/>
    <x v="0"/>
    <x v="0"/>
  </r>
  <r>
    <x v="33"/>
    <n v="3.9"/>
    <x v="52"/>
    <x v="26"/>
    <x v="3"/>
    <n v="153000"/>
    <n v="296000"/>
    <n v="224500"/>
    <x v="0"/>
    <x v="0"/>
    <x v="0"/>
    <x v="0"/>
    <x v="0"/>
  </r>
  <r>
    <x v="32"/>
    <n v="3.9"/>
    <x v="52"/>
    <x v="26"/>
    <x v="3"/>
    <n v="153000"/>
    <n v="296000"/>
    <n v="224500"/>
    <x v="0"/>
    <x v="0"/>
    <x v="0"/>
    <x v="0"/>
    <x v="0"/>
  </r>
  <r>
    <x v="33"/>
    <n v="3.5"/>
    <x v="51"/>
    <x v="26"/>
    <x v="3"/>
    <n v="153000"/>
    <n v="296000"/>
    <n v="224500"/>
    <x v="0"/>
    <x v="0"/>
    <x v="0"/>
    <x v="0"/>
    <x v="0"/>
  </r>
  <r>
    <x v="32"/>
    <n v="3.5"/>
    <x v="51"/>
    <x v="26"/>
    <x v="3"/>
    <n v="153000"/>
    <n v="296000"/>
    <n v="224500"/>
    <x v="0"/>
    <x v="0"/>
    <x v="0"/>
    <x v="0"/>
    <x v="0"/>
  </r>
  <r>
    <x v="8"/>
    <n v="4.5"/>
    <x v="49"/>
    <x v="26"/>
    <x v="3"/>
    <n v="151000"/>
    <n v="194000"/>
    <n v="172500"/>
    <x v="0"/>
    <x v="0"/>
    <x v="0"/>
    <x v="0"/>
    <x v="0"/>
  </r>
  <r>
    <x v="34"/>
    <n v="4.3"/>
    <x v="53"/>
    <x v="26"/>
    <x v="3"/>
    <n v="149000"/>
    <n v="200000"/>
    <n v="174500"/>
    <x v="0"/>
    <x v="0"/>
    <x v="0"/>
    <x v="0"/>
    <x v="0"/>
  </r>
  <r>
    <x v="8"/>
    <n v="3.9"/>
    <x v="54"/>
    <x v="26"/>
    <x v="3"/>
    <n v="130000"/>
    <n v="234000"/>
    <n v="182000"/>
    <x v="0"/>
    <x v="0"/>
    <x v="0"/>
    <x v="0"/>
    <x v="0"/>
  </r>
  <r>
    <x v="35"/>
    <n v="3.6"/>
    <x v="55"/>
    <x v="26"/>
    <x v="3"/>
    <n v="116000"/>
    <n v="116000"/>
    <n v="116000"/>
    <x v="0"/>
    <x v="0"/>
    <x v="0"/>
    <x v="0"/>
    <x v="0"/>
  </r>
  <r>
    <x v="36"/>
    <n v="3.1"/>
    <x v="56"/>
    <x v="26"/>
    <x v="3"/>
    <n v="105000"/>
    <n v="125000"/>
    <n v="115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37"/>
    <n v="5"/>
    <x v="57"/>
    <x v="26"/>
    <x v="3"/>
    <n v="97000"/>
    <n v="155000"/>
    <n v="126000"/>
    <x v="0"/>
    <x v="0"/>
    <x v="0"/>
    <x v="0"/>
    <x v="0"/>
  </r>
  <r>
    <x v="22"/>
    <n v="3.2"/>
    <x v="58"/>
    <x v="27"/>
    <x v="3"/>
    <n v="156000"/>
    <n v="209000"/>
    <n v="182500"/>
    <x v="0"/>
    <x v="0"/>
    <x v="0"/>
    <x v="0"/>
    <x v="0"/>
  </r>
  <r>
    <x v="35"/>
    <n v="3.2"/>
    <x v="58"/>
    <x v="27"/>
    <x v="3"/>
    <n v="131000"/>
    <n v="175000"/>
    <n v="153000"/>
    <x v="0"/>
    <x v="0"/>
    <x v="0"/>
    <x v="0"/>
    <x v="0"/>
  </r>
  <r>
    <x v="0"/>
    <n v="4.3"/>
    <x v="59"/>
    <x v="27"/>
    <x v="3"/>
    <n v="115000"/>
    <n v="179000"/>
    <n v="147000"/>
    <x v="0"/>
    <x v="0"/>
    <x v="0"/>
    <x v="0"/>
    <x v="0"/>
  </r>
  <r>
    <x v="8"/>
    <n v="4"/>
    <x v="60"/>
    <x v="28"/>
    <x v="3"/>
    <n v="141000"/>
    <n v="185000"/>
    <n v="163000"/>
    <x v="1"/>
    <x v="1"/>
    <x v="0"/>
    <x v="0"/>
    <x v="0"/>
  </r>
  <r>
    <x v="38"/>
    <n v="4"/>
    <x v="60"/>
    <x v="28"/>
    <x v="3"/>
    <n v="118000"/>
    <n v="160000"/>
    <n v="139000"/>
    <x v="1"/>
    <x v="1"/>
    <x v="1"/>
    <x v="1"/>
    <x v="0"/>
  </r>
  <r>
    <x v="8"/>
    <n v="4.4000000000000004"/>
    <x v="61"/>
    <x v="29"/>
    <x v="3"/>
    <n v="183000"/>
    <n v="192000"/>
    <n v="187500"/>
    <x v="0"/>
    <x v="0"/>
    <x v="0"/>
    <x v="0"/>
    <x v="0"/>
  </r>
  <r>
    <x v="39"/>
    <n v="3.4"/>
    <x v="62"/>
    <x v="29"/>
    <x v="3"/>
    <n v="163000"/>
    <n v="188000"/>
    <n v="175500"/>
    <x v="0"/>
    <x v="0"/>
    <x v="0"/>
    <x v="0"/>
    <x v="0"/>
  </r>
  <r>
    <x v="40"/>
    <n v="3.9"/>
    <x v="63"/>
    <x v="29"/>
    <x v="3"/>
    <n v="155292.79999999999"/>
    <n v="205795.20000000001"/>
    <n v="180544"/>
    <x v="0"/>
    <x v="0"/>
    <x v="0"/>
    <x v="0"/>
    <x v="0"/>
  </r>
  <r>
    <x v="41"/>
    <n v="3.9"/>
    <x v="63"/>
    <x v="29"/>
    <x v="3"/>
    <n v="150779.20000000001"/>
    <n v="199804.79999999999"/>
    <n v="175292"/>
    <x v="0"/>
    <x v="0"/>
    <x v="0"/>
    <x v="0"/>
    <x v="0"/>
  </r>
  <r>
    <x v="42"/>
    <n v="4"/>
    <x v="64"/>
    <x v="29"/>
    <x v="3"/>
    <n v="132000"/>
    <n v="176000"/>
    <n v="154000"/>
    <x v="0"/>
    <x v="0"/>
    <x v="0"/>
    <x v="0"/>
    <x v="0"/>
  </r>
  <r>
    <x v="0"/>
    <n v="4.4000000000000004"/>
    <x v="61"/>
    <x v="29"/>
    <x v="3"/>
    <n v="130000"/>
    <n v="146000"/>
    <n v="138000"/>
    <x v="0"/>
    <x v="0"/>
    <x v="0"/>
    <x v="0"/>
    <x v="0"/>
  </r>
  <r>
    <x v="43"/>
    <n v="3.7"/>
    <x v="65"/>
    <x v="29"/>
    <x v="3"/>
    <n v="123000"/>
    <n v="195000"/>
    <n v="159000"/>
    <x v="0"/>
    <x v="0"/>
    <x v="0"/>
    <x v="0"/>
    <x v="0"/>
  </r>
  <r>
    <x v="8"/>
    <n v="4"/>
    <x v="66"/>
    <x v="29"/>
    <x v="3"/>
    <n v="118000"/>
    <n v="217000"/>
    <n v="167500"/>
    <x v="1"/>
    <x v="1"/>
    <x v="0"/>
    <x v="0"/>
    <x v="0"/>
  </r>
  <r>
    <x v="0"/>
    <n v="4"/>
    <x v="66"/>
    <x v="29"/>
    <x v="3"/>
    <n v="81000"/>
    <n v="179000"/>
    <n v="130000"/>
    <x v="1"/>
    <x v="1"/>
    <x v="0"/>
    <x v="0"/>
    <x v="0"/>
  </r>
  <r>
    <x v="44"/>
    <n v="4"/>
    <x v="66"/>
    <x v="29"/>
    <x v="3"/>
    <n v="65000"/>
    <n v="131000"/>
    <n v="98000"/>
    <x v="0"/>
    <x v="0"/>
    <x v="0"/>
    <x v="0"/>
    <x v="0"/>
  </r>
  <r>
    <x v="6"/>
    <n v="3.4"/>
    <x v="67"/>
    <x v="30"/>
    <x v="3"/>
    <n v="128000"/>
    <n v="171000"/>
    <n v="149500"/>
    <x v="0"/>
    <x v="0"/>
    <x v="0"/>
    <x v="0"/>
    <x v="0"/>
  </r>
  <r>
    <x v="45"/>
    <m/>
    <x v="68"/>
    <x v="31"/>
    <x v="3"/>
    <n v="130000"/>
    <n v="176000"/>
    <n v="153000"/>
    <x v="0"/>
    <x v="0"/>
    <x v="0"/>
    <x v="0"/>
    <x v="0"/>
  </r>
  <r>
    <x v="0"/>
    <n v="2.6"/>
    <x v="69"/>
    <x v="32"/>
    <x v="3"/>
    <n v="82000"/>
    <n v="96000"/>
    <n v="89000"/>
    <x v="0"/>
    <x v="0"/>
    <x v="0"/>
    <x v="0"/>
    <x v="0"/>
  </r>
  <r>
    <x v="8"/>
    <n v="3.4"/>
    <x v="3"/>
    <x v="33"/>
    <x v="3"/>
    <n v="144000"/>
    <n v="200000"/>
    <n v="172000"/>
    <x v="0"/>
    <x v="1"/>
    <x v="0"/>
    <x v="0"/>
    <x v="0"/>
  </r>
  <r>
    <x v="46"/>
    <n v="3.7"/>
    <x v="70"/>
    <x v="34"/>
    <x v="3"/>
    <n v="157310.39999999999"/>
    <n v="157310.39999999999"/>
    <n v="157310.39999999999"/>
    <x v="0"/>
    <x v="0"/>
    <x v="0"/>
    <x v="0"/>
    <x v="0"/>
  </r>
  <r>
    <x v="31"/>
    <n v="4.5"/>
    <x v="49"/>
    <x v="34"/>
    <x v="3"/>
    <n v="144000"/>
    <n v="191000"/>
    <n v="167500"/>
    <x v="0"/>
    <x v="0"/>
    <x v="0"/>
    <x v="0"/>
    <x v="0"/>
  </r>
  <r>
    <x v="22"/>
    <n v="4.5"/>
    <x v="49"/>
    <x v="34"/>
    <x v="3"/>
    <n v="144000"/>
    <n v="193000"/>
    <n v="168500"/>
    <x v="0"/>
    <x v="0"/>
    <x v="0"/>
    <x v="0"/>
    <x v="0"/>
  </r>
  <r>
    <x v="31"/>
    <n v="4.5"/>
    <x v="49"/>
    <x v="34"/>
    <x v="3"/>
    <n v="144000"/>
    <n v="191000"/>
    <n v="167500"/>
    <x v="0"/>
    <x v="0"/>
    <x v="0"/>
    <x v="0"/>
    <x v="0"/>
  </r>
  <r>
    <x v="47"/>
    <n v="3.9"/>
    <x v="71"/>
    <x v="34"/>
    <x v="3"/>
    <n v="138000"/>
    <n v="186000"/>
    <n v="162000"/>
    <x v="0"/>
    <x v="0"/>
    <x v="0"/>
    <x v="0"/>
    <x v="0"/>
  </r>
  <r>
    <x v="47"/>
    <n v="3.9"/>
    <x v="71"/>
    <x v="34"/>
    <x v="3"/>
    <n v="138000"/>
    <n v="186000"/>
    <n v="162000"/>
    <x v="0"/>
    <x v="0"/>
    <x v="0"/>
    <x v="0"/>
    <x v="0"/>
  </r>
  <r>
    <x v="0"/>
    <n v="3.5"/>
    <x v="72"/>
    <x v="34"/>
    <x v="3"/>
    <n v="137000"/>
    <n v="137000"/>
    <n v="137000"/>
    <x v="0"/>
    <x v="0"/>
    <x v="0"/>
    <x v="0"/>
    <x v="0"/>
  </r>
  <r>
    <x v="48"/>
    <n v="4.3"/>
    <x v="73"/>
    <x v="34"/>
    <x v="3"/>
    <n v="93000"/>
    <n v="132000"/>
    <n v="112500"/>
    <x v="1"/>
    <x v="1"/>
    <x v="0"/>
    <x v="0"/>
    <x v="0"/>
  </r>
  <r>
    <x v="49"/>
    <n v="4.4000000000000004"/>
    <x v="74"/>
    <x v="35"/>
    <x v="3"/>
    <n v="249600"/>
    <n v="260000"/>
    <n v="254800"/>
    <x v="0"/>
    <x v="0"/>
    <x v="0"/>
    <x v="0"/>
    <x v="0"/>
  </r>
  <r>
    <x v="50"/>
    <n v="3.3"/>
    <x v="75"/>
    <x v="35"/>
    <x v="3"/>
    <n v="211000"/>
    <n v="262000"/>
    <n v="236500"/>
    <x v="0"/>
    <x v="0"/>
    <x v="0"/>
    <x v="0"/>
    <x v="0"/>
  </r>
  <r>
    <x v="47"/>
    <n v="3.5"/>
    <x v="76"/>
    <x v="35"/>
    <x v="3"/>
    <n v="190000"/>
    <n v="351000"/>
    <n v="270500"/>
    <x v="0"/>
    <x v="0"/>
    <x v="0"/>
    <x v="0"/>
    <x v="0"/>
  </r>
  <r>
    <x v="22"/>
    <n v="4.0999999999999996"/>
    <x v="77"/>
    <x v="35"/>
    <x v="3"/>
    <n v="188000"/>
    <n v="306000"/>
    <n v="247000"/>
    <x v="0"/>
    <x v="0"/>
    <x v="0"/>
    <x v="0"/>
    <x v="0"/>
  </r>
  <r>
    <x v="51"/>
    <n v="4.4000000000000004"/>
    <x v="74"/>
    <x v="35"/>
    <x v="3"/>
    <n v="185000"/>
    <n v="245000"/>
    <n v="215000"/>
    <x v="0"/>
    <x v="0"/>
    <x v="0"/>
    <x v="0"/>
    <x v="0"/>
  </r>
  <r>
    <x v="52"/>
    <n v="3.6"/>
    <x v="78"/>
    <x v="35"/>
    <x v="3"/>
    <n v="172000"/>
    <n v="285000"/>
    <n v="228500"/>
    <x v="0"/>
    <x v="0"/>
    <x v="0"/>
    <x v="0"/>
    <x v="0"/>
  </r>
  <r>
    <x v="53"/>
    <n v="4.4000000000000004"/>
    <x v="79"/>
    <x v="35"/>
    <x v="3"/>
    <n v="169000"/>
    <n v="272000"/>
    <n v="220500"/>
    <x v="0"/>
    <x v="0"/>
    <x v="0"/>
    <x v="0"/>
    <x v="0"/>
  </r>
  <r>
    <x v="54"/>
    <n v="4.0999999999999996"/>
    <x v="77"/>
    <x v="35"/>
    <x v="3"/>
    <n v="160000"/>
    <n v="220000"/>
    <n v="190000"/>
    <x v="0"/>
    <x v="0"/>
    <x v="0"/>
    <x v="0"/>
    <x v="0"/>
  </r>
  <r>
    <x v="0"/>
    <n v="4.3"/>
    <x v="80"/>
    <x v="35"/>
    <x v="3"/>
    <n v="160000"/>
    <n v="170000"/>
    <n v="165000"/>
    <x v="0"/>
    <x v="0"/>
    <x v="0"/>
    <x v="0"/>
    <x v="0"/>
  </r>
  <r>
    <x v="55"/>
    <n v="4.8"/>
    <x v="81"/>
    <x v="35"/>
    <x v="3"/>
    <n v="160000"/>
    <n v="255000"/>
    <n v="207500"/>
    <x v="0"/>
    <x v="0"/>
    <x v="0"/>
    <x v="0"/>
    <x v="0"/>
  </r>
  <r>
    <x v="56"/>
    <n v="4.8"/>
    <x v="81"/>
    <x v="35"/>
    <x v="3"/>
    <n v="160000"/>
    <n v="210000"/>
    <n v="185000"/>
    <x v="0"/>
    <x v="0"/>
    <x v="0"/>
    <x v="0"/>
    <x v="0"/>
  </r>
  <r>
    <x v="8"/>
    <n v="4.2"/>
    <x v="82"/>
    <x v="35"/>
    <x v="3"/>
    <n v="151000"/>
    <n v="200000"/>
    <n v="175500"/>
    <x v="0"/>
    <x v="0"/>
    <x v="0"/>
    <x v="0"/>
    <x v="0"/>
  </r>
  <r>
    <x v="57"/>
    <n v="4.7"/>
    <x v="83"/>
    <x v="35"/>
    <x v="3"/>
    <n v="150000"/>
    <n v="175000"/>
    <n v="162500"/>
    <x v="0"/>
    <x v="0"/>
    <x v="0"/>
    <x v="0"/>
    <x v="0"/>
  </r>
  <r>
    <x v="58"/>
    <n v="3.6"/>
    <x v="84"/>
    <x v="35"/>
    <x v="3"/>
    <n v="146000"/>
    <n v="194000"/>
    <n v="170000"/>
    <x v="0"/>
    <x v="0"/>
    <x v="0"/>
    <x v="0"/>
    <x v="0"/>
  </r>
  <r>
    <x v="59"/>
    <n v="4.8"/>
    <x v="81"/>
    <x v="35"/>
    <x v="3"/>
    <n v="140000"/>
    <n v="190000"/>
    <n v="165000"/>
    <x v="0"/>
    <x v="0"/>
    <x v="0"/>
    <x v="0"/>
    <x v="0"/>
  </r>
  <r>
    <x v="60"/>
    <n v="4.3"/>
    <x v="53"/>
    <x v="35"/>
    <x v="3"/>
    <n v="138000"/>
    <n v="188000"/>
    <n v="163000"/>
    <x v="0"/>
    <x v="0"/>
    <x v="0"/>
    <x v="0"/>
    <x v="0"/>
  </r>
  <r>
    <x v="0"/>
    <n v="3.8"/>
    <x v="85"/>
    <x v="35"/>
    <x v="3"/>
    <n v="136000"/>
    <n v="186000"/>
    <n v="161000"/>
    <x v="0"/>
    <x v="0"/>
    <x v="0"/>
    <x v="0"/>
    <x v="0"/>
  </r>
  <r>
    <x v="61"/>
    <n v="3.4"/>
    <x v="86"/>
    <x v="35"/>
    <x v="3"/>
    <n v="134000"/>
    <n v="182000"/>
    <n v="158000"/>
    <x v="0"/>
    <x v="0"/>
    <x v="0"/>
    <x v="0"/>
    <x v="0"/>
  </r>
  <r>
    <x v="62"/>
    <n v="3.6"/>
    <x v="87"/>
    <x v="35"/>
    <x v="3"/>
    <n v="132000"/>
    <n v="193000"/>
    <n v="162500"/>
    <x v="0"/>
    <x v="0"/>
    <x v="0"/>
    <x v="0"/>
    <x v="0"/>
  </r>
  <r>
    <x v="63"/>
    <n v="3.9"/>
    <x v="88"/>
    <x v="35"/>
    <x v="3"/>
    <n v="128000"/>
    <n v="192000"/>
    <n v="160000"/>
    <x v="0"/>
    <x v="0"/>
    <x v="0"/>
    <x v="0"/>
    <x v="0"/>
  </r>
  <r>
    <x v="64"/>
    <n v="3.1"/>
    <x v="89"/>
    <x v="35"/>
    <x v="3"/>
    <n v="127000"/>
    <n v="173000"/>
    <n v="150000"/>
    <x v="1"/>
    <x v="0"/>
    <x v="1"/>
    <x v="0"/>
    <x v="0"/>
  </r>
  <r>
    <x v="65"/>
    <n v="3.1"/>
    <x v="90"/>
    <x v="35"/>
    <x v="3"/>
    <n v="125000"/>
    <n v="125000"/>
    <n v="125000"/>
    <x v="0"/>
    <x v="0"/>
    <x v="0"/>
    <x v="0"/>
    <x v="0"/>
  </r>
  <r>
    <x v="66"/>
    <n v="4.3"/>
    <x v="91"/>
    <x v="35"/>
    <x v="3"/>
    <n v="123000"/>
    <n v="179000"/>
    <n v="151000"/>
    <x v="0"/>
    <x v="0"/>
    <x v="0"/>
    <x v="0"/>
    <x v="0"/>
  </r>
  <r>
    <x v="67"/>
    <n v="3.8"/>
    <x v="85"/>
    <x v="35"/>
    <x v="3"/>
    <n v="123000"/>
    <n v="177000"/>
    <n v="150000"/>
    <x v="0"/>
    <x v="0"/>
    <x v="0"/>
    <x v="0"/>
    <x v="0"/>
  </r>
  <r>
    <x v="0"/>
    <n v="4.0999999999999996"/>
    <x v="92"/>
    <x v="35"/>
    <x v="3"/>
    <n v="122000"/>
    <n v="175000"/>
    <n v="148500"/>
    <x v="0"/>
    <x v="0"/>
    <x v="0"/>
    <x v="0"/>
    <x v="0"/>
  </r>
  <r>
    <x v="68"/>
    <n v="3.7"/>
    <x v="93"/>
    <x v="35"/>
    <x v="3"/>
    <n v="115000"/>
    <n v="155000"/>
    <n v="135000"/>
    <x v="0"/>
    <x v="0"/>
    <x v="0"/>
    <x v="0"/>
    <x v="0"/>
  </r>
  <r>
    <x v="31"/>
    <n v="3.5"/>
    <x v="76"/>
    <x v="35"/>
    <x v="3"/>
    <n v="112000"/>
    <n v="207000"/>
    <n v="159500"/>
    <x v="0"/>
    <x v="0"/>
    <x v="0"/>
    <x v="0"/>
    <x v="0"/>
  </r>
  <r>
    <x v="0"/>
    <n v="4.0999999999999996"/>
    <x v="94"/>
    <x v="35"/>
    <x v="3"/>
    <n v="112000"/>
    <n v="157000"/>
    <n v="134500"/>
    <x v="0"/>
    <x v="0"/>
    <x v="0"/>
    <x v="0"/>
    <x v="0"/>
  </r>
  <r>
    <x v="0"/>
    <n v="5"/>
    <x v="95"/>
    <x v="35"/>
    <x v="3"/>
    <n v="110000"/>
    <n v="158000"/>
    <n v="134000"/>
    <x v="0"/>
    <x v="0"/>
    <x v="0"/>
    <x v="0"/>
    <x v="0"/>
  </r>
  <r>
    <x v="69"/>
    <n v="3"/>
    <x v="96"/>
    <x v="35"/>
    <x v="3"/>
    <n v="106000"/>
    <n v="152000"/>
    <n v="129000"/>
    <x v="0"/>
    <x v="0"/>
    <x v="0"/>
    <x v="0"/>
    <x v="0"/>
  </r>
  <r>
    <x v="70"/>
    <n v="4"/>
    <x v="97"/>
    <x v="35"/>
    <x v="3"/>
    <n v="102000"/>
    <n v="143000"/>
    <n v="122500"/>
    <x v="0"/>
    <x v="0"/>
    <x v="0"/>
    <x v="0"/>
    <x v="0"/>
  </r>
  <r>
    <x v="69"/>
    <n v="3.5"/>
    <x v="76"/>
    <x v="35"/>
    <x v="3"/>
    <n v="101000"/>
    <n v="187000"/>
    <n v="144000"/>
    <x v="0"/>
    <x v="0"/>
    <x v="0"/>
    <x v="0"/>
    <x v="0"/>
  </r>
  <r>
    <x v="71"/>
    <n v="4"/>
    <x v="98"/>
    <x v="35"/>
    <x v="3"/>
    <n v="64000"/>
    <n v="98000"/>
    <n v="81000"/>
    <x v="0"/>
    <x v="0"/>
    <x v="0"/>
    <x v="0"/>
    <x v="0"/>
  </r>
  <r>
    <x v="72"/>
    <n v="3.5"/>
    <x v="51"/>
    <x v="36"/>
    <x v="3"/>
    <n v="201000"/>
    <n v="395000"/>
    <n v="298000"/>
    <x v="0"/>
    <x v="0"/>
    <x v="0"/>
    <x v="0"/>
    <x v="0"/>
  </r>
  <r>
    <x v="73"/>
    <n v="3.5"/>
    <x v="51"/>
    <x v="36"/>
    <x v="3"/>
    <n v="176000"/>
    <n v="329000"/>
    <n v="252500"/>
    <x v="0"/>
    <x v="0"/>
    <x v="0"/>
    <x v="0"/>
    <x v="0"/>
  </r>
  <r>
    <x v="73"/>
    <n v="3.5"/>
    <x v="51"/>
    <x v="36"/>
    <x v="3"/>
    <n v="176000"/>
    <n v="329000"/>
    <n v="252500"/>
    <x v="0"/>
    <x v="0"/>
    <x v="0"/>
    <x v="0"/>
    <x v="0"/>
  </r>
  <r>
    <x v="74"/>
    <n v="3.5"/>
    <x v="51"/>
    <x v="36"/>
    <x v="3"/>
    <n v="153000"/>
    <n v="332000"/>
    <n v="242500"/>
    <x v="0"/>
    <x v="0"/>
    <x v="0"/>
    <x v="0"/>
    <x v="0"/>
  </r>
  <r>
    <x v="74"/>
    <n v="3.5"/>
    <x v="51"/>
    <x v="36"/>
    <x v="3"/>
    <n v="153000"/>
    <n v="332000"/>
    <n v="242500"/>
    <x v="0"/>
    <x v="0"/>
    <x v="0"/>
    <x v="0"/>
    <x v="0"/>
  </r>
  <r>
    <x v="75"/>
    <n v="4.4000000000000004"/>
    <x v="99"/>
    <x v="36"/>
    <x v="3"/>
    <n v="140000"/>
    <n v="261000"/>
    <n v="200500"/>
    <x v="0"/>
    <x v="1"/>
    <x v="0"/>
    <x v="0"/>
    <x v="0"/>
  </r>
  <r>
    <x v="8"/>
    <n v="3.5"/>
    <x v="100"/>
    <x v="36"/>
    <x v="3"/>
    <n v="121000"/>
    <n v="163000"/>
    <n v="142000"/>
    <x v="0"/>
    <x v="0"/>
    <x v="0"/>
    <x v="0"/>
    <x v="0"/>
  </r>
  <r>
    <x v="70"/>
    <n v="4"/>
    <x v="97"/>
    <x v="36"/>
    <x v="3"/>
    <n v="99000"/>
    <n v="137000"/>
    <n v="118000"/>
    <x v="0"/>
    <x v="0"/>
    <x v="0"/>
    <x v="0"/>
    <x v="0"/>
  </r>
  <r>
    <x v="76"/>
    <n v="3.5"/>
    <x v="101"/>
    <x v="36"/>
    <x v="3"/>
    <n v="91000"/>
    <n v="132000"/>
    <n v="111500"/>
    <x v="0"/>
    <x v="0"/>
    <x v="0"/>
    <x v="0"/>
    <x v="0"/>
  </r>
  <r>
    <x v="77"/>
    <n v="4.4000000000000004"/>
    <x v="99"/>
    <x v="36"/>
    <x v="3"/>
    <n v="83000"/>
    <n v="153000"/>
    <n v="118000"/>
    <x v="1"/>
    <x v="1"/>
    <x v="1"/>
    <x v="1"/>
    <x v="0"/>
  </r>
  <r>
    <x v="0"/>
    <m/>
    <x v="102"/>
    <x v="37"/>
    <x v="3"/>
    <n v="150000"/>
    <n v="275000"/>
    <n v="212500"/>
    <x v="0"/>
    <x v="0"/>
    <x v="0"/>
    <x v="0"/>
    <x v="0"/>
  </r>
  <r>
    <x v="78"/>
    <n v="4.2"/>
    <x v="103"/>
    <x v="38"/>
    <x v="3"/>
    <n v="310000"/>
    <n v="359000"/>
    <n v="334500"/>
    <x v="0"/>
    <x v="0"/>
    <x v="0"/>
    <x v="0"/>
    <x v="0"/>
  </r>
  <r>
    <x v="79"/>
    <n v="4.2"/>
    <x v="103"/>
    <x v="38"/>
    <x v="3"/>
    <n v="295000"/>
    <n v="359000"/>
    <n v="327000"/>
    <x v="0"/>
    <x v="0"/>
    <x v="0"/>
    <x v="0"/>
    <x v="0"/>
  </r>
  <r>
    <x v="22"/>
    <n v="3.8"/>
    <x v="104"/>
    <x v="38"/>
    <x v="3"/>
    <n v="250000"/>
    <n v="330000"/>
    <n v="290000"/>
    <x v="0"/>
    <x v="0"/>
    <x v="0"/>
    <x v="0"/>
    <x v="0"/>
  </r>
  <r>
    <x v="80"/>
    <n v="4.2"/>
    <x v="103"/>
    <x v="38"/>
    <x v="3"/>
    <n v="213000"/>
    <n v="253000"/>
    <n v="233000"/>
    <x v="0"/>
    <x v="0"/>
    <x v="0"/>
    <x v="0"/>
    <x v="0"/>
  </r>
  <r>
    <x v="81"/>
    <n v="4"/>
    <x v="105"/>
    <x v="38"/>
    <x v="3"/>
    <n v="141000"/>
    <n v="188000"/>
    <n v="164500"/>
    <x v="0"/>
    <x v="0"/>
    <x v="0"/>
    <x v="0"/>
    <x v="0"/>
  </r>
  <r>
    <x v="82"/>
    <n v="4.3"/>
    <x v="106"/>
    <x v="39"/>
    <x v="3"/>
    <n v="139000"/>
    <n v="209000"/>
    <n v="174000"/>
    <x v="0"/>
    <x v="0"/>
    <x v="0"/>
    <x v="0"/>
    <x v="0"/>
  </r>
  <r>
    <x v="8"/>
    <n v="3.8"/>
    <x v="107"/>
    <x v="40"/>
    <x v="3"/>
    <n v="143000"/>
    <n v="195000"/>
    <n v="169000"/>
    <x v="0"/>
    <x v="0"/>
    <x v="0"/>
    <x v="0"/>
    <x v="0"/>
  </r>
  <r>
    <x v="83"/>
    <n v="4.5999999999999996"/>
    <x v="108"/>
    <x v="41"/>
    <x v="3"/>
    <n v="160000"/>
    <n v="247000"/>
    <n v="203500"/>
    <x v="0"/>
    <x v="0"/>
    <x v="0"/>
    <x v="0"/>
    <x v="0"/>
  </r>
  <r>
    <x v="84"/>
    <n v="4.4000000000000004"/>
    <x v="109"/>
    <x v="41"/>
    <x v="3"/>
    <n v="143000"/>
    <n v="251000"/>
    <n v="197000"/>
    <x v="0"/>
    <x v="0"/>
    <x v="0"/>
    <x v="0"/>
    <x v="0"/>
  </r>
  <r>
    <x v="0"/>
    <n v="4.5"/>
    <x v="110"/>
    <x v="41"/>
    <x v="3"/>
    <n v="111000"/>
    <n v="160000"/>
    <n v="135500"/>
    <x v="0"/>
    <x v="1"/>
    <x v="1"/>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5"/>
    <n v="4.0999999999999996"/>
    <x v="13"/>
    <x v="41"/>
    <x v="3"/>
    <n v="106000"/>
    <n v="159000"/>
    <n v="132500"/>
    <x v="0"/>
    <x v="0"/>
    <x v="0"/>
    <x v="0"/>
    <x v="0"/>
  </r>
  <r>
    <x v="86"/>
    <n v="4.0999999999999996"/>
    <x v="13"/>
    <x v="41"/>
    <x v="3"/>
    <n v="88000"/>
    <n v="133000"/>
    <n v="110500"/>
    <x v="0"/>
    <x v="0"/>
    <x v="0"/>
    <x v="0"/>
    <x v="0"/>
  </r>
  <r>
    <x v="0"/>
    <n v="4.3"/>
    <x v="111"/>
    <x v="42"/>
    <x v="3"/>
    <n v="123000"/>
    <n v="183000"/>
    <n v="153000"/>
    <x v="0"/>
    <x v="0"/>
    <x v="0"/>
    <x v="0"/>
    <x v="0"/>
  </r>
  <r>
    <x v="6"/>
    <n v="3.9"/>
    <x v="112"/>
    <x v="43"/>
    <x v="3"/>
    <n v="136000"/>
    <n v="182000"/>
    <n v="159000"/>
    <x v="0"/>
    <x v="0"/>
    <x v="0"/>
    <x v="0"/>
    <x v="0"/>
  </r>
  <r>
    <x v="87"/>
    <n v="3.7"/>
    <x v="70"/>
    <x v="43"/>
    <x v="3"/>
    <n v="127000"/>
    <n v="127000"/>
    <n v="127000"/>
    <x v="1"/>
    <x v="1"/>
    <x v="0"/>
    <x v="0"/>
    <x v="0"/>
  </r>
  <r>
    <x v="87"/>
    <n v="3.7"/>
    <x v="70"/>
    <x v="43"/>
    <x v="3"/>
    <n v="127000"/>
    <n v="127000"/>
    <n v="127000"/>
    <x v="1"/>
    <x v="1"/>
    <x v="0"/>
    <x v="0"/>
    <x v="0"/>
  </r>
  <r>
    <x v="88"/>
    <n v="4.0999999999999996"/>
    <x v="113"/>
    <x v="44"/>
    <x v="3"/>
    <n v="169000"/>
    <n v="203000"/>
    <n v="186000"/>
    <x v="0"/>
    <x v="0"/>
    <x v="0"/>
    <x v="0"/>
    <x v="0"/>
  </r>
  <r>
    <x v="8"/>
    <n v="4.0999999999999996"/>
    <x v="113"/>
    <x v="44"/>
    <x v="3"/>
    <n v="169000"/>
    <n v="172000"/>
    <n v="170500"/>
    <x v="0"/>
    <x v="0"/>
    <x v="0"/>
    <x v="0"/>
    <x v="0"/>
  </r>
  <r>
    <x v="89"/>
    <n v="4.0999999999999996"/>
    <x v="113"/>
    <x v="44"/>
    <x v="3"/>
    <n v="133000"/>
    <n v="162000"/>
    <n v="147500"/>
    <x v="0"/>
    <x v="0"/>
    <x v="0"/>
    <x v="0"/>
    <x v="0"/>
  </r>
  <r>
    <x v="89"/>
    <n v="4.0999999999999996"/>
    <x v="113"/>
    <x v="44"/>
    <x v="3"/>
    <n v="133000"/>
    <n v="162000"/>
    <n v="147500"/>
    <x v="0"/>
    <x v="0"/>
    <x v="0"/>
    <x v="0"/>
    <x v="0"/>
  </r>
  <r>
    <x v="0"/>
    <n v="3"/>
    <x v="114"/>
    <x v="44"/>
    <x v="3"/>
    <n v="110000"/>
    <n v="159000"/>
    <n v="134500"/>
    <x v="0"/>
    <x v="0"/>
    <x v="0"/>
    <x v="0"/>
    <x v="0"/>
  </r>
  <r>
    <x v="90"/>
    <n v="3.1"/>
    <x v="115"/>
    <x v="44"/>
    <x v="3"/>
    <n v="95000"/>
    <n v="220000"/>
    <n v="157500"/>
    <x v="0"/>
    <x v="0"/>
    <x v="0"/>
    <x v="0"/>
    <x v="0"/>
  </r>
  <r>
    <x v="91"/>
    <n v="4.2"/>
    <x v="116"/>
    <x v="45"/>
    <x v="3"/>
    <n v="87000"/>
    <n v="126000"/>
    <n v="106500"/>
    <x v="0"/>
    <x v="0"/>
    <x v="0"/>
    <x v="0"/>
    <x v="0"/>
  </r>
  <r>
    <x v="22"/>
    <n v="3.4"/>
    <x v="3"/>
    <x v="46"/>
    <x v="3"/>
    <n v="184000"/>
    <n v="260000"/>
    <n v="222000"/>
    <x v="1"/>
    <x v="1"/>
    <x v="0"/>
    <x v="0"/>
    <x v="0"/>
  </r>
  <r>
    <x v="92"/>
    <n v="3.4"/>
    <x v="3"/>
    <x v="46"/>
    <x v="3"/>
    <n v="144000"/>
    <n v="216000"/>
    <n v="180000"/>
    <x v="0"/>
    <x v="0"/>
    <x v="0"/>
    <x v="0"/>
    <x v="0"/>
  </r>
  <r>
    <x v="93"/>
    <n v="3.7"/>
    <x v="117"/>
    <x v="47"/>
    <x v="3"/>
    <n v="180000"/>
    <n v="250000"/>
    <n v="215000"/>
    <x v="0"/>
    <x v="0"/>
    <x v="0"/>
    <x v="0"/>
    <x v="0"/>
  </r>
  <r>
    <x v="57"/>
    <n v="3.7"/>
    <x v="118"/>
    <x v="47"/>
    <x v="3"/>
    <n v="112000"/>
    <n v="112000"/>
    <n v="112000"/>
    <x v="1"/>
    <x v="1"/>
    <x v="0"/>
    <x v="0"/>
    <x v="0"/>
  </r>
  <r>
    <x v="35"/>
    <n v="3.3"/>
    <x v="119"/>
    <x v="47"/>
    <x v="3"/>
    <n v="97000"/>
    <n v="146000"/>
    <n v="121500"/>
    <x v="0"/>
    <x v="0"/>
    <x v="0"/>
    <x v="0"/>
    <x v="0"/>
  </r>
  <r>
    <x v="94"/>
    <n v="2.9"/>
    <x v="120"/>
    <x v="47"/>
    <x v="3"/>
    <n v="95000"/>
    <n v="115000"/>
    <n v="105000"/>
    <x v="0"/>
    <x v="0"/>
    <x v="0"/>
    <x v="0"/>
    <x v="0"/>
  </r>
  <r>
    <x v="95"/>
    <n v="4.5999999999999996"/>
    <x v="121"/>
    <x v="48"/>
    <x v="4"/>
    <n v="79000"/>
    <n v="237000"/>
    <n v="158000"/>
    <x v="0"/>
    <x v="0"/>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6"/>
    <n v="4.8"/>
    <x v="122"/>
    <x v="48"/>
    <x v="4"/>
    <n v="67000"/>
    <n v="99000"/>
    <n v="83000"/>
    <x v="0"/>
    <x v="1"/>
    <x v="0"/>
    <x v="0"/>
    <x v="0"/>
  </r>
  <r>
    <x v="97"/>
    <n v="3.8"/>
    <x v="123"/>
    <x v="48"/>
    <x v="4"/>
    <n v="59000"/>
    <n v="86000"/>
    <n v="72500"/>
    <x v="0"/>
    <x v="0"/>
    <x v="0"/>
    <x v="0"/>
    <x v="0"/>
  </r>
  <r>
    <x v="98"/>
    <m/>
    <x v="124"/>
    <x v="49"/>
    <x v="4"/>
    <n v="100000"/>
    <n v="180000"/>
    <n v="140000"/>
    <x v="0"/>
    <x v="0"/>
    <x v="0"/>
    <x v="0"/>
    <x v="0"/>
  </r>
  <r>
    <x v="99"/>
    <n v="3.9"/>
    <x v="125"/>
    <x v="49"/>
    <x v="4"/>
    <n v="75000"/>
    <n v="80000"/>
    <n v="77500"/>
    <x v="0"/>
    <x v="0"/>
    <x v="0"/>
    <x v="0"/>
    <x v="0"/>
  </r>
  <r>
    <x v="0"/>
    <n v="4"/>
    <x v="126"/>
    <x v="49"/>
    <x v="4"/>
    <n v="69000"/>
    <n v="122000"/>
    <n v="95500"/>
    <x v="0"/>
    <x v="1"/>
    <x v="1"/>
    <x v="1"/>
    <x v="0"/>
  </r>
  <r>
    <x v="8"/>
    <n v="4.3"/>
    <x v="127"/>
    <x v="50"/>
    <x v="4"/>
    <n v="135000"/>
    <n v="210000"/>
    <n v="172500"/>
    <x v="0"/>
    <x v="0"/>
    <x v="0"/>
    <x v="0"/>
    <x v="0"/>
  </r>
  <r>
    <x v="0"/>
    <n v="3.9"/>
    <x v="128"/>
    <x v="50"/>
    <x v="4"/>
    <n v="83000"/>
    <n v="127000"/>
    <n v="105000"/>
    <x v="0"/>
    <x v="0"/>
    <x v="0"/>
    <x v="0"/>
    <x v="0"/>
  </r>
  <r>
    <x v="94"/>
    <n v="3.9"/>
    <x v="128"/>
    <x v="50"/>
    <x v="4"/>
    <n v="70000"/>
    <n v="105000"/>
    <n v="87500"/>
    <x v="0"/>
    <x v="0"/>
    <x v="0"/>
    <x v="0"/>
    <x v="0"/>
  </r>
  <r>
    <x v="100"/>
    <n v="4.0999999999999996"/>
    <x v="129"/>
    <x v="51"/>
    <x v="4"/>
    <n v="161000"/>
    <n v="188000"/>
    <n v="174500"/>
    <x v="0"/>
    <x v="0"/>
    <x v="0"/>
    <x v="0"/>
    <x v="0"/>
  </r>
  <r>
    <x v="6"/>
    <n v="2.4"/>
    <x v="130"/>
    <x v="51"/>
    <x v="4"/>
    <n v="110000"/>
    <n v="110000"/>
    <n v="110000"/>
    <x v="0"/>
    <x v="0"/>
    <x v="0"/>
    <x v="0"/>
    <x v="0"/>
  </r>
  <r>
    <x v="0"/>
    <n v="2.9"/>
    <x v="131"/>
    <x v="51"/>
    <x v="4"/>
    <n v="106000"/>
    <n v="130000"/>
    <n v="118000"/>
    <x v="0"/>
    <x v="0"/>
    <x v="0"/>
    <x v="0"/>
    <x v="0"/>
  </r>
  <r>
    <x v="0"/>
    <n v="3.2"/>
    <x v="132"/>
    <x v="51"/>
    <x v="4"/>
    <n v="100000"/>
    <n v="140000"/>
    <n v="120000"/>
    <x v="0"/>
    <x v="0"/>
    <x v="0"/>
    <x v="0"/>
    <x v="0"/>
  </r>
  <r>
    <x v="0"/>
    <n v="4"/>
    <x v="133"/>
    <x v="51"/>
    <x v="4"/>
    <n v="94000"/>
    <n v="132000"/>
    <n v="113000"/>
    <x v="0"/>
    <x v="0"/>
    <x v="0"/>
    <x v="0"/>
    <x v="0"/>
  </r>
  <r>
    <x v="0"/>
    <n v="4.2"/>
    <x v="134"/>
    <x v="51"/>
    <x v="4"/>
    <n v="85000"/>
    <n v="124000"/>
    <n v="104500"/>
    <x v="0"/>
    <x v="0"/>
    <x v="0"/>
    <x v="0"/>
    <x v="0"/>
  </r>
  <r>
    <x v="0"/>
    <n v="3.5"/>
    <x v="135"/>
    <x v="51"/>
    <x v="4"/>
    <n v="70000"/>
    <n v="105000"/>
    <n v="87500"/>
    <x v="1"/>
    <x v="0"/>
    <x v="0"/>
    <x v="0"/>
    <x v="0"/>
  </r>
  <r>
    <x v="101"/>
    <n v="3.8"/>
    <x v="136"/>
    <x v="52"/>
    <x v="4"/>
    <n v="78000"/>
    <n v="140000"/>
    <n v="109000"/>
    <x v="0"/>
    <x v="0"/>
    <x v="0"/>
    <x v="0"/>
    <x v="0"/>
  </r>
  <r>
    <x v="102"/>
    <n v="3.6"/>
    <x v="137"/>
    <x v="53"/>
    <x v="4"/>
    <n v="156000"/>
    <n v="208000"/>
    <n v="182000"/>
    <x v="0"/>
    <x v="0"/>
    <x v="0"/>
    <x v="0"/>
    <x v="0"/>
  </r>
  <r>
    <x v="102"/>
    <n v="3.6"/>
    <x v="138"/>
    <x v="53"/>
    <x v="4"/>
    <n v="156000"/>
    <n v="208000"/>
    <n v="182000"/>
    <x v="0"/>
    <x v="0"/>
    <x v="0"/>
    <x v="0"/>
    <x v="0"/>
  </r>
  <r>
    <x v="103"/>
    <n v="3.9"/>
    <x v="125"/>
    <x v="54"/>
    <x v="4"/>
    <n v="105000"/>
    <n v="135000"/>
    <n v="120000"/>
    <x v="0"/>
    <x v="0"/>
    <x v="0"/>
    <x v="0"/>
    <x v="0"/>
  </r>
  <r>
    <x v="0"/>
    <n v="4.2"/>
    <x v="139"/>
    <x v="55"/>
    <x v="4"/>
    <n v="106000"/>
    <n v="143000"/>
    <n v="124500"/>
    <x v="0"/>
    <x v="0"/>
    <x v="0"/>
    <x v="0"/>
    <x v="0"/>
  </r>
  <r>
    <x v="104"/>
    <n v="4.0999999999999996"/>
    <x v="140"/>
    <x v="56"/>
    <x v="5"/>
    <n v="154000"/>
    <n v="254000"/>
    <n v="204000"/>
    <x v="0"/>
    <x v="0"/>
    <x v="0"/>
    <x v="0"/>
    <x v="0"/>
  </r>
  <r>
    <x v="105"/>
    <n v="3.7"/>
    <x v="141"/>
    <x v="56"/>
    <x v="5"/>
    <n v="92000"/>
    <n v="124000"/>
    <n v="108000"/>
    <x v="0"/>
    <x v="0"/>
    <x v="0"/>
    <x v="0"/>
    <x v="0"/>
  </r>
  <r>
    <x v="22"/>
    <m/>
    <x v="142"/>
    <x v="57"/>
    <x v="5"/>
    <n v="139000"/>
    <n v="190000"/>
    <n v="164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0"/>
    <n v="4.2"/>
    <x v="143"/>
    <x v="57"/>
    <x v="5"/>
    <n v="90000"/>
    <n v="125000"/>
    <n v="107500"/>
    <x v="0"/>
    <x v="0"/>
    <x v="0"/>
    <x v="0"/>
    <x v="0"/>
  </r>
  <r>
    <x v="106"/>
    <n v="3.8"/>
    <x v="144"/>
    <x v="57"/>
    <x v="5"/>
    <n v="75000"/>
    <n v="75000"/>
    <n v="75000"/>
    <x v="0"/>
    <x v="0"/>
    <x v="0"/>
    <x v="0"/>
    <x v="0"/>
  </r>
  <r>
    <x v="0"/>
    <n v="3.4"/>
    <x v="145"/>
    <x v="58"/>
    <x v="5"/>
    <n v="89000"/>
    <n v="133000"/>
    <n v="111000"/>
    <x v="0"/>
    <x v="0"/>
    <x v="0"/>
    <x v="0"/>
    <x v="0"/>
  </r>
  <r>
    <x v="107"/>
    <n v="3.5"/>
    <x v="146"/>
    <x v="59"/>
    <x v="5"/>
    <n v="133000"/>
    <n v="197000"/>
    <n v="165000"/>
    <x v="0"/>
    <x v="0"/>
    <x v="0"/>
    <x v="0"/>
    <x v="0"/>
  </r>
  <r>
    <x v="108"/>
    <n v="4.5"/>
    <x v="147"/>
    <x v="60"/>
    <x v="6"/>
    <n v="159000"/>
    <n v="281000"/>
    <n v="220000"/>
    <x v="0"/>
    <x v="0"/>
    <x v="0"/>
    <x v="0"/>
    <x v="0"/>
  </r>
  <r>
    <x v="109"/>
    <m/>
    <x v="148"/>
    <x v="60"/>
    <x v="6"/>
    <n v="141000"/>
    <n v="239000"/>
    <n v="190000"/>
    <x v="0"/>
    <x v="0"/>
    <x v="0"/>
    <x v="0"/>
    <x v="0"/>
  </r>
  <r>
    <x v="110"/>
    <n v="3.5"/>
    <x v="149"/>
    <x v="60"/>
    <x v="6"/>
    <n v="121000"/>
    <n v="169000"/>
    <n v="145000"/>
    <x v="0"/>
    <x v="0"/>
    <x v="0"/>
    <x v="0"/>
    <x v="0"/>
  </r>
  <r>
    <x v="111"/>
    <n v="3.9"/>
    <x v="150"/>
    <x v="60"/>
    <x v="6"/>
    <n v="112000"/>
    <n v="172000"/>
    <n v="142000"/>
    <x v="0"/>
    <x v="0"/>
    <x v="0"/>
    <x v="0"/>
    <x v="0"/>
  </r>
  <r>
    <x v="0"/>
    <n v="4.0999999999999996"/>
    <x v="151"/>
    <x v="60"/>
    <x v="6"/>
    <n v="102000"/>
    <n v="138000"/>
    <n v="120000"/>
    <x v="0"/>
    <x v="0"/>
    <x v="0"/>
    <x v="0"/>
    <x v="0"/>
  </r>
  <r>
    <x v="112"/>
    <n v="3.1"/>
    <x v="152"/>
    <x v="60"/>
    <x v="6"/>
    <n v="94000"/>
    <n v="146000"/>
    <n v="120000"/>
    <x v="0"/>
    <x v="0"/>
    <x v="0"/>
    <x v="0"/>
    <x v="0"/>
  </r>
  <r>
    <x v="113"/>
    <n v="3.7"/>
    <x v="153"/>
    <x v="60"/>
    <x v="6"/>
    <n v="93000"/>
    <n v="135000"/>
    <n v="114000"/>
    <x v="0"/>
    <x v="0"/>
    <x v="0"/>
    <x v="0"/>
    <x v="0"/>
  </r>
  <r>
    <x v="0"/>
    <n v="4.0999999999999996"/>
    <x v="154"/>
    <x v="60"/>
    <x v="6"/>
    <n v="89000"/>
    <n v="123000"/>
    <n v="106000"/>
    <x v="0"/>
    <x v="0"/>
    <x v="0"/>
    <x v="0"/>
    <x v="0"/>
  </r>
  <r>
    <x v="0"/>
    <n v="3.9"/>
    <x v="155"/>
    <x v="60"/>
    <x v="6"/>
    <n v="89000"/>
    <n v="133000"/>
    <n v="111000"/>
    <x v="1"/>
    <x v="1"/>
    <x v="0"/>
    <x v="0"/>
    <x v="0"/>
  </r>
  <r>
    <x v="94"/>
    <n v="4.3"/>
    <x v="156"/>
    <x v="60"/>
    <x v="6"/>
    <n v="88000"/>
    <n v="129000"/>
    <n v="108500"/>
    <x v="0"/>
    <x v="0"/>
    <x v="0"/>
    <x v="0"/>
    <x v="0"/>
  </r>
  <r>
    <x v="0"/>
    <n v="4.2"/>
    <x v="157"/>
    <x v="60"/>
    <x v="6"/>
    <n v="79000"/>
    <n v="122000"/>
    <n v="100500"/>
    <x v="1"/>
    <x v="1"/>
    <x v="0"/>
    <x v="1"/>
    <x v="0"/>
  </r>
  <r>
    <x v="114"/>
    <n v="4"/>
    <x v="158"/>
    <x v="60"/>
    <x v="6"/>
    <n v="79000"/>
    <n v="148000"/>
    <n v="113500"/>
    <x v="0"/>
    <x v="0"/>
    <x v="0"/>
    <x v="0"/>
    <x v="0"/>
  </r>
  <r>
    <x v="115"/>
    <n v="3.8"/>
    <x v="159"/>
    <x v="60"/>
    <x v="6"/>
    <n v="53000"/>
    <n v="96000"/>
    <n v="74500"/>
    <x v="0"/>
    <x v="0"/>
    <x v="0"/>
    <x v="0"/>
    <x v="0"/>
  </r>
  <r>
    <x v="0"/>
    <n v="4.0999999999999996"/>
    <x v="160"/>
    <x v="60"/>
    <x v="6"/>
    <n v="53000"/>
    <n v="84000"/>
    <n v="68500"/>
    <x v="0"/>
    <x v="0"/>
    <x v="0"/>
    <x v="0"/>
    <x v="0"/>
  </r>
  <r>
    <x v="116"/>
    <n v="3.9"/>
    <x v="161"/>
    <x v="60"/>
    <x v="6"/>
    <n v="53000"/>
    <n v="100000"/>
    <n v="76500"/>
    <x v="0"/>
    <x v="0"/>
    <x v="0"/>
    <x v="0"/>
    <x v="0"/>
  </r>
  <r>
    <x v="117"/>
    <n v="4.0999999999999996"/>
    <x v="162"/>
    <x v="61"/>
    <x v="7"/>
    <n v="85000"/>
    <n v="115000"/>
    <n v="100000"/>
    <x v="0"/>
    <x v="0"/>
    <x v="0"/>
    <x v="0"/>
    <x v="0"/>
  </r>
  <r>
    <x v="117"/>
    <n v="4.0999999999999996"/>
    <x v="162"/>
    <x v="61"/>
    <x v="7"/>
    <n v="85000"/>
    <n v="115000"/>
    <n v="100000"/>
    <x v="0"/>
    <x v="0"/>
    <x v="0"/>
    <x v="0"/>
    <x v="0"/>
  </r>
  <r>
    <x v="117"/>
    <n v="4.0999999999999996"/>
    <x v="162"/>
    <x v="61"/>
    <x v="7"/>
    <n v="85000"/>
    <n v="115000"/>
    <n v="100000"/>
    <x v="0"/>
    <x v="0"/>
    <x v="0"/>
    <x v="0"/>
    <x v="0"/>
  </r>
  <r>
    <x v="118"/>
    <n v="3.8"/>
    <x v="163"/>
    <x v="62"/>
    <x v="7"/>
    <n v="74000"/>
    <n v="100000"/>
    <n v="87000"/>
    <x v="0"/>
    <x v="0"/>
    <x v="0"/>
    <x v="0"/>
    <x v="0"/>
  </r>
  <r>
    <x v="119"/>
    <n v="4"/>
    <x v="164"/>
    <x v="63"/>
    <x v="7"/>
    <n v="113000"/>
    <n v="152000"/>
    <n v="132500"/>
    <x v="0"/>
    <x v="0"/>
    <x v="0"/>
    <x v="0"/>
    <x v="0"/>
  </r>
  <r>
    <x v="44"/>
    <n v="3.4"/>
    <x v="165"/>
    <x v="63"/>
    <x v="7"/>
    <n v="89000"/>
    <n v="122000"/>
    <n v="105500"/>
    <x v="0"/>
    <x v="0"/>
    <x v="0"/>
    <x v="0"/>
    <x v="0"/>
  </r>
  <r>
    <x v="120"/>
    <n v="3.5"/>
    <x v="166"/>
    <x v="64"/>
    <x v="8"/>
    <n v="90000"/>
    <n v="110000"/>
    <n v="100000"/>
    <x v="0"/>
    <x v="0"/>
    <x v="0"/>
    <x v="0"/>
    <x v="0"/>
  </r>
  <r>
    <x v="121"/>
    <m/>
    <x v="167"/>
    <x v="64"/>
    <x v="8"/>
    <n v="76000"/>
    <n v="120000"/>
    <n v="98000"/>
    <x v="0"/>
    <x v="0"/>
    <x v="0"/>
    <x v="0"/>
    <x v="0"/>
  </r>
  <r>
    <x v="0"/>
    <m/>
    <x v="168"/>
    <x v="64"/>
    <x v="8"/>
    <n v="72000"/>
    <n v="114000"/>
    <n v="93000"/>
    <x v="0"/>
    <x v="0"/>
    <x v="0"/>
    <x v="0"/>
    <x v="0"/>
  </r>
  <r>
    <x v="122"/>
    <n v="3.6"/>
    <x v="169"/>
    <x v="65"/>
    <x v="8"/>
    <n v="145000"/>
    <n v="155000"/>
    <n v="150000"/>
    <x v="0"/>
    <x v="0"/>
    <x v="0"/>
    <x v="0"/>
    <x v="0"/>
  </r>
  <r>
    <x v="8"/>
    <n v="4.9000000000000004"/>
    <x v="170"/>
    <x v="66"/>
    <x v="8"/>
    <n v="96000"/>
    <n v="139000"/>
    <n v="117500"/>
    <x v="1"/>
    <x v="1"/>
    <x v="0"/>
    <x v="0"/>
    <x v="0"/>
  </r>
  <r>
    <x v="123"/>
    <n v="4.8"/>
    <x v="122"/>
    <x v="66"/>
    <x v="8"/>
    <n v="69000"/>
    <n v="109000"/>
    <n v="89000"/>
    <x v="0"/>
    <x v="0"/>
    <x v="0"/>
    <x v="0"/>
    <x v="0"/>
  </r>
  <r>
    <x v="5"/>
    <n v="2.9"/>
    <x v="171"/>
    <x v="67"/>
    <x v="8"/>
    <n v="92000"/>
    <n v="121000"/>
    <n v="106500"/>
    <x v="0"/>
    <x v="0"/>
    <x v="0"/>
    <x v="0"/>
    <x v="0"/>
  </r>
  <r>
    <x v="8"/>
    <m/>
    <x v="172"/>
    <x v="68"/>
    <x v="8"/>
    <n v="118000"/>
    <n v="158000"/>
    <n v="138000"/>
    <x v="0"/>
    <x v="0"/>
    <x v="0"/>
    <x v="0"/>
    <x v="0"/>
  </r>
  <r>
    <x v="8"/>
    <n v="3.9"/>
    <x v="173"/>
    <x v="68"/>
    <x v="8"/>
    <n v="118000"/>
    <n v="158000"/>
    <n v="138000"/>
    <x v="0"/>
    <x v="0"/>
    <x v="0"/>
    <x v="0"/>
    <x v="0"/>
  </r>
  <r>
    <x v="124"/>
    <n v="3.6"/>
    <x v="174"/>
    <x v="69"/>
    <x v="8"/>
    <n v="73000"/>
    <n v="104000"/>
    <n v="88500"/>
    <x v="0"/>
    <x v="1"/>
    <x v="0"/>
    <x v="1"/>
    <x v="0"/>
  </r>
  <r>
    <x v="125"/>
    <n v="4.3"/>
    <x v="175"/>
    <x v="70"/>
    <x v="8"/>
    <n v="104000"/>
    <n v="178000"/>
    <n v="141000"/>
    <x v="1"/>
    <x v="1"/>
    <x v="0"/>
    <x v="0"/>
    <x v="0"/>
  </r>
  <r>
    <x v="126"/>
    <n v="4"/>
    <x v="176"/>
    <x v="70"/>
    <x v="8"/>
    <n v="70000"/>
    <n v="80000"/>
    <n v="75000"/>
    <x v="0"/>
    <x v="0"/>
    <x v="0"/>
    <x v="0"/>
    <x v="0"/>
  </r>
  <r>
    <x v="127"/>
    <m/>
    <x v="177"/>
    <x v="71"/>
    <x v="8"/>
    <n v="103000"/>
    <n v="159000"/>
    <n v="131000"/>
    <x v="0"/>
    <x v="0"/>
    <x v="0"/>
    <x v="0"/>
    <x v="0"/>
  </r>
  <r>
    <x v="128"/>
    <n v="3.8"/>
    <x v="178"/>
    <x v="72"/>
    <x v="8"/>
    <n v="116000"/>
    <n v="163000"/>
    <n v="139500"/>
    <x v="0"/>
    <x v="0"/>
    <x v="0"/>
    <x v="0"/>
    <x v="0"/>
  </r>
  <r>
    <x v="129"/>
    <n v="3.8"/>
    <x v="178"/>
    <x v="72"/>
    <x v="8"/>
    <n v="109000"/>
    <n v="144000"/>
    <n v="126500"/>
    <x v="0"/>
    <x v="1"/>
    <x v="0"/>
    <x v="0"/>
    <x v="0"/>
  </r>
  <r>
    <x v="130"/>
    <n v="3.6"/>
    <x v="179"/>
    <x v="73"/>
    <x v="8"/>
    <n v="70000"/>
    <n v="106000"/>
    <n v="88000"/>
    <x v="0"/>
    <x v="0"/>
    <x v="0"/>
    <x v="0"/>
    <x v="0"/>
  </r>
  <r>
    <x v="131"/>
    <n v="3.5"/>
    <x v="180"/>
    <x v="74"/>
    <x v="8"/>
    <n v="82000"/>
    <n v="123000"/>
    <n v="102500"/>
    <x v="0"/>
    <x v="0"/>
    <x v="0"/>
    <x v="0"/>
    <x v="0"/>
  </r>
  <r>
    <x v="0"/>
    <n v="4.5"/>
    <x v="181"/>
    <x v="75"/>
    <x v="8"/>
    <n v="85000"/>
    <n v="130000"/>
    <n v="107500"/>
    <x v="0"/>
    <x v="0"/>
    <x v="0"/>
    <x v="0"/>
    <x v="0"/>
  </r>
  <r>
    <x v="0"/>
    <n v="3.9"/>
    <x v="182"/>
    <x v="76"/>
    <x v="8"/>
    <n v="88000"/>
    <n v="121000"/>
    <n v="104500"/>
    <x v="0"/>
    <x v="0"/>
    <x v="0"/>
    <x v="0"/>
    <x v="0"/>
  </r>
  <r>
    <x v="132"/>
    <n v="3.9"/>
    <x v="161"/>
    <x v="77"/>
    <x v="9"/>
    <n v="193440"/>
    <n v="251680"/>
    <n v="222560"/>
    <x v="0"/>
    <x v="0"/>
    <x v="0"/>
    <x v="0"/>
    <x v="0"/>
  </r>
  <r>
    <x v="133"/>
    <n v="3.8"/>
    <x v="183"/>
    <x v="77"/>
    <x v="9"/>
    <n v="120000"/>
    <n v="240000"/>
    <n v="180000"/>
    <x v="0"/>
    <x v="0"/>
    <x v="0"/>
    <x v="0"/>
    <x v="0"/>
  </r>
  <r>
    <x v="134"/>
    <n v="3.7"/>
    <x v="184"/>
    <x v="77"/>
    <x v="9"/>
    <n v="99000"/>
    <n v="152000"/>
    <n v="125500"/>
    <x v="0"/>
    <x v="0"/>
    <x v="0"/>
    <x v="0"/>
    <x v="0"/>
  </r>
  <r>
    <x v="0"/>
    <n v="3.8"/>
    <x v="183"/>
    <x v="77"/>
    <x v="9"/>
    <n v="92000"/>
    <n v="128000"/>
    <n v="110000"/>
    <x v="0"/>
    <x v="0"/>
    <x v="0"/>
    <x v="0"/>
    <x v="0"/>
  </r>
  <r>
    <x v="0"/>
    <n v="2.4"/>
    <x v="185"/>
    <x v="77"/>
    <x v="9"/>
    <n v="90000"/>
    <n v="126000"/>
    <n v="108000"/>
    <x v="0"/>
    <x v="0"/>
    <x v="0"/>
    <x v="0"/>
    <x v="0"/>
  </r>
  <r>
    <x v="135"/>
    <n v="3.7"/>
    <x v="186"/>
    <x v="77"/>
    <x v="9"/>
    <n v="88000"/>
    <n v="122000"/>
    <n v="105000"/>
    <x v="0"/>
    <x v="0"/>
    <x v="0"/>
    <x v="0"/>
    <x v="0"/>
  </r>
  <r>
    <x v="0"/>
    <n v="3.8"/>
    <x v="187"/>
    <x v="77"/>
    <x v="9"/>
    <n v="81000"/>
    <n v="112000"/>
    <n v="96500"/>
    <x v="0"/>
    <x v="0"/>
    <x v="0"/>
    <x v="0"/>
    <x v="0"/>
  </r>
  <r>
    <x v="136"/>
    <n v="3.8"/>
    <x v="183"/>
    <x v="77"/>
    <x v="9"/>
    <n v="75000"/>
    <n v="103000"/>
    <n v="89000"/>
    <x v="0"/>
    <x v="0"/>
    <x v="0"/>
    <x v="0"/>
    <x v="0"/>
  </r>
  <r>
    <x v="137"/>
    <n v="3.9"/>
    <x v="161"/>
    <x v="77"/>
    <x v="9"/>
    <n v="71000"/>
    <n v="133000"/>
    <n v="102000"/>
    <x v="0"/>
    <x v="0"/>
    <x v="0"/>
    <x v="0"/>
    <x v="0"/>
  </r>
  <r>
    <x v="138"/>
    <n v="4"/>
    <x v="188"/>
    <x v="77"/>
    <x v="9"/>
    <n v="45000"/>
    <n v="176000"/>
    <n v="110500"/>
    <x v="0"/>
    <x v="0"/>
    <x v="0"/>
    <x v="0"/>
    <x v="0"/>
  </r>
  <r>
    <x v="139"/>
    <n v="3.9"/>
    <x v="189"/>
    <x v="78"/>
    <x v="9"/>
    <n v="96000"/>
    <n v="151000"/>
    <n v="123500"/>
    <x v="0"/>
    <x v="0"/>
    <x v="0"/>
    <x v="0"/>
    <x v="0"/>
  </r>
  <r>
    <x v="140"/>
    <n v="4.0999999999999996"/>
    <x v="190"/>
    <x v="79"/>
    <x v="9"/>
    <n v="109000"/>
    <n v="151000"/>
    <n v="130000"/>
    <x v="0"/>
    <x v="0"/>
    <x v="0"/>
    <x v="0"/>
    <x v="0"/>
  </r>
  <r>
    <x v="0"/>
    <n v="4"/>
    <x v="191"/>
    <x v="80"/>
    <x v="9"/>
    <n v="80000"/>
    <n v="122000"/>
    <n v="101000"/>
    <x v="0"/>
    <x v="0"/>
    <x v="0"/>
    <x v="0"/>
    <x v="0"/>
  </r>
  <r>
    <x v="0"/>
    <n v="4.5999999999999996"/>
    <x v="192"/>
    <x v="81"/>
    <x v="9"/>
    <n v="125000"/>
    <n v="129000"/>
    <n v="127000"/>
    <x v="0"/>
    <x v="0"/>
    <x v="0"/>
    <x v="0"/>
    <x v="0"/>
  </r>
  <r>
    <x v="0"/>
    <n v="3.5"/>
    <x v="193"/>
    <x v="82"/>
    <x v="10"/>
    <n v="88000"/>
    <n v="129000"/>
    <n v="108500"/>
    <x v="0"/>
    <x v="0"/>
    <x v="0"/>
    <x v="0"/>
    <x v="0"/>
  </r>
  <r>
    <x v="141"/>
    <n v="4.5"/>
    <x v="194"/>
    <x v="83"/>
    <x v="10"/>
    <n v="82000"/>
    <n v="123000"/>
    <n v="102500"/>
    <x v="1"/>
    <x v="1"/>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0"/>
    <n v="3.9"/>
    <x v="195"/>
    <x v="84"/>
    <x v="10"/>
    <n v="94000"/>
    <n v="132000"/>
    <n v="113000"/>
    <x v="0"/>
    <x v="0"/>
    <x v="0"/>
    <x v="0"/>
    <x v="0"/>
  </r>
  <r>
    <x v="117"/>
    <n v="4.0999999999999996"/>
    <x v="162"/>
    <x v="84"/>
    <x v="10"/>
    <n v="85000"/>
    <n v="115000"/>
    <n v="100000"/>
    <x v="0"/>
    <x v="0"/>
    <x v="0"/>
    <x v="0"/>
    <x v="0"/>
  </r>
  <r>
    <x v="142"/>
    <n v="3.8"/>
    <x v="196"/>
    <x v="85"/>
    <x v="11"/>
    <n v="153000"/>
    <n v="215000"/>
    <n v="184000"/>
    <x v="0"/>
    <x v="0"/>
    <x v="0"/>
    <x v="0"/>
    <x v="0"/>
  </r>
  <r>
    <x v="8"/>
    <n v="3.5"/>
    <x v="197"/>
    <x v="85"/>
    <x v="11"/>
    <n v="122000"/>
    <n v="150000"/>
    <n v="136000"/>
    <x v="0"/>
    <x v="0"/>
    <x v="0"/>
    <x v="0"/>
    <x v="0"/>
  </r>
  <r>
    <x v="8"/>
    <n v="3.9"/>
    <x v="198"/>
    <x v="85"/>
    <x v="11"/>
    <n v="119000"/>
    <n v="157000"/>
    <n v="138000"/>
    <x v="0"/>
    <x v="0"/>
    <x v="0"/>
    <x v="0"/>
    <x v="0"/>
  </r>
  <r>
    <x v="0"/>
    <n v="3.5"/>
    <x v="199"/>
    <x v="85"/>
    <x v="11"/>
    <n v="107000"/>
    <n v="157000"/>
    <n v="132000"/>
    <x v="0"/>
    <x v="0"/>
    <x v="0"/>
    <x v="0"/>
    <x v="0"/>
  </r>
  <r>
    <x v="35"/>
    <n v="4.3"/>
    <x v="200"/>
    <x v="85"/>
    <x v="11"/>
    <n v="104000"/>
    <n v="144000"/>
    <n v="124000"/>
    <x v="1"/>
    <x v="1"/>
    <x v="0"/>
    <x v="1"/>
    <x v="0"/>
  </r>
  <r>
    <x v="143"/>
    <n v="4.3"/>
    <x v="201"/>
    <x v="85"/>
    <x v="11"/>
    <n v="102000"/>
    <n v="142000"/>
    <n v="122000"/>
    <x v="0"/>
    <x v="0"/>
    <x v="0"/>
    <x v="0"/>
    <x v="0"/>
  </r>
  <r>
    <x v="35"/>
    <n v="3.9"/>
    <x v="202"/>
    <x v="85"/>
    <x v="11"/>
    <n v="102000"/>
    <n v="138000"/>
    <n v="120000"/>
    <x v="0"/>
    <x v="0"/>
    <x v="0"/>
    <x v="0"/>
    <x v="0"/>
  </r>
  <r>
    <x v="0"/>
    <n v="4.5"/>
    <x v="203"/>
    <x v="85"/>
    <x v="11"/>
    <n v="101000"/>
    <n v="204000"/>
    <n v="152500"/>
    <x v="0"/>
    <x v="0"/>
    <x v="0"/>
    <x v="0"/>
    <x v="0"/>
  </r>
  <r>
    <x v="0"/>
    <n v="4"/>
    <x v="204"/>
    <x v="85"/>
    <x v="11"/>
    <n v="97000"/>
    <n v="127000"/>
    <n v="112000"/>
    <x v="0"/>
    <x v="1"/>
    <x v="0"/>
    <x v="0"/>
    <x v="0"/>
  </r>
  <r>
    <x v="144"/>
    <n v="4.3"/>
    <x v="205"/>
    <x v="85"/>
    <x v="11"/>
    <n v="94000"/>
    <n v="144000"/>
    <n v="119000"/>
    <x v="0"/>
    <x v="0"/>
    <x v="0"/>
    <x v="0"/>
    <x v="0"/>
  </r>
  <r>
    <x v="0"/>
    <n v="3.9"/>
    <x v="206"/>
    <x v="85"/>
    <x v="11"/>
    <n v="94000"/>
    <n v="130000"/>
    <n v="112000"/>
    <x v="0"/>
    <x v="0"/>
    <x v="0"/>
    <x v="0"/>
    <x v="0"/>
  </r>
  <r>
    <x v="0"/>
    <n v="3.7"/>
    <x v="207"/>
    <x v="85"/>
    <x v="11"/>
    <n v="92000"/>
    <n v="130000"/>
    <n v="111000"/>
    <x v="0"/>
    <x v="0"/>
    <x v="0"/>
    <x v="0"/>
    <x v="0"/>
  </r>
  <r>
    <x v="0"/>
    <n v="3.8"/>
    <x v="208"/>
    <x v="85"/>
    <x v="11"/>
    <n v="90000"/>
    <n v="123000"/>
    <n v="106500"/>
    <x v="0"/>
    <x v="0"/>
    <x v="0"/>
    <x v="0"/>
    <x v="0"/>
  </r>
  <r>
    <x v="145"/>
    <n v="3.9"/>
    <x v="209"/>
    <x v="85"/>
    <x v="11"/>
    <n v="81000"/>
    <n v="129000"/>
    <n v="105000"/>
    <x v="0"/>
    <x v="0"/>
    <x v="0"/>
    <x v="0"/>
    <x v="0"/>
  </r>
  <r>
    <x v="146"/>
    <n v="3.9"/>
    <x v="210"/>
    <x v="85"/>
    <x v="11"/>
    <n v="65000"/>
    <n v="88000"/>
    <n v="76500"/>
    <x v="0"/>
    <x v="0"/>
    <x v="0"/>
    <x v="0"/>
    <x v="0"/>
  </r>
  <r>
    <x v="8"/>
    <n v="4"/>
    <x v="211"/>
    <x v="86"/>
    <x v="11"/>
    <n v="120000"/>
    <n v="160000"/>
    <n v="140000"/>
    <x v="0"/>
    <x v="0"/>
    <x v="0"/>
    <x v="0"/>
    <x v="0"/>
  </r>
  <r>
    <x v="22"/>
    <n v="3.9"/>
    <x v="212"/>
    <x v="87"/>
    <x v="11"/>
    <n v="126000"/>
    <n v="165000"/>
    <n v="145500"/>
    <x v="0"/>
    <x v="0"/>
    <x v="0"/>
    <x v="0"/>
    <x v="0"/>
  </r>
  <r>
    <x v="147"/>
    <n v="3.6"/>
    <x v="213"/>
    <x v="88"/>
    <x v="11"/>
    <n v="101000"/>
    <n v="132000"/>
    <n v="116500"/>
    <x v="0"/>
    <x v="0"/>
    <x v="0"/>
    <x v="0"/>
    <x v="0"/>
  </r>
  <r>
    <x v="0"/>
    <n v="3.1"/>
    <x v="214"/>
    <x v="89"/>
    <x v="11"/>
    <n v="83000"/>
    <n v="111000"/>
    <n v="97000"/>
    <x v="0"/>
    <x v="0"/>
    <x v="0"/>
    <x v="0"/>
    <x v="0"/>
  </r>
  <r>
    <x v="148"/>
    <n v="4"/>
    <x v="215"/>
    <x v="90"/>
    <x v="11"/>
    <n v="88000"/>
    <n v="120000"/>
    <n v="104000"/>
    <x v="0"/>
    <x v="0"/>
    <x v="0"/>
    <x v="0"/>
    <x v="0"/>
  </r>
  <r>
    <x v="44"/>
    <n v="4"/>
    <x v="211"/>
    <x v="91"/>
    <x v="11"/>
    <n v="87000"/>
    <n v="116000"/>
    <n v="101500"/>
    <x v="0"/>
    <x v="0"/>
    <x v="0"/>
    <x v="0"/>
    <x v="0"/>
  </r>
  <r>
    <x v="0"/>
    <n v="3.4"/>
    <x v="216"/>
    <x v="92"/>
    <x v="11"/>
    <n v="85000"/>
    <n v="85000"/>
    <n v="85000"/>
    <x v="0"/>
    <x v="0"/>
    <x v="0"/>
    <x v="0"/>
    <x v="0"/>
  </r>
  <r>
    <x v="22"/>
    <n v="4.3"/>
    <x v="217"/>
    <x v="93"/>
    <x v="11"/>
    <n v="112000"/>
    <n v="146000"/>
    <n v="129000"/>
    <x v="0"/>
    <x v="0"/>
    <x v="0"/>
    <x v="0"/>
    <x v="0"/>
  </r>
  <r>
    <x v="149"/>
    <n v="3.8"/>
    <x v="218"/>
    <x v="93"/>
    <x v="11"/>
    <n v="104000"/>
    <n v="140000"/>
    <n v="122000"/>
    <x v="1"/>
    <x v="1"/>
    <x v="0"/>
    <x v="0"/>
    <x v="0"/>
  </r>
  <r>
    <x v="0"/>
    <n v="3.9"/>
    <x v="219"/>
    <x v="94"/>
    <x v="11"/>
    <n v="100000"/>
    <n v="133000"/>
    <n v="116500"/>
    <x v="0"/>
    <x v="0"/>
    <x v="0"/>
    <x v="0"/>
    <x v="0"/>
  </r>
  <r>
    <x v="150"/>
    <n v="4.3"/>
    <x v="217"/>
    <x v="94"/>
    <x v="11"/>
    <n v="81000"/>
    <n v="115000"/>
    <n v="98000"/>
    <x v="0"/>
    <x v="0"/>
    <x v="0"/>
    <x v="0"/>
    <x v="0"/>
  </r>
  <r>
    <x v="151"/>
    <n v="4"/>
    <x v="220"/>
    <x v="95"/>
    <x v="11"/>
    <n v="99000"/>
    <n v="136000"/>
    <n v="117500"/>
    <x v="0"/>
    <x v="0"/>
    <x v="0"/>
    <x v="0"/>
    <x v="0"/>
  </r>
  <r>
    <x v="152"/>
    <m/>
    <x v="221"/>
    <x v="95"/>
    <x v="11"/>
    <n v="95000"/>
    <n v="140000"/>
    <n v="117500"/>
    <x v="0"/>
    <x v="0"/>
    <x v="0"/>
    <x v="0"/>
    <x v="0"/>
  </r>
  <r>
    <x v="31"/>
    <n v="3.5"/>
    <x v="222"/>
    <x v="47"/>
    <x v="11"/>
    <n v="110000"/>
    <n v="138000"/>
    <n v="124000"/>
    <x v="0"/>
    <x v="0"/>
    <x v="0"/>
    <x v="0"/>
    <x v="0"/>
  </r>
  <r>
    <x v="0"/>
    <n v="3.9"/>
    <x v="223"/>
    <x v="96"/>
    <x v="12"/>
    <n v="83000"/>
    <n v="123000"/>
    <n v="103000"/>
    <x v="0"/>
    <x v="0"/>
    <x v="0"/>
    <x v="0"/>
    <x v="0"/>
  </r>
  <r>
    <x v="0"/>
    <n v="3.4"/>
    <x v="224"/>
    <x v="96"/>
    <x v="12"/>
    <n v="76000"/>
    <n v="103000"/>
    <n v="89500"/>
    <x v="0"/>
    <x v="0"/>
    <x v="0"/>
    <x v="0"/>
    <x v="0"/>
  </r>
  <r>
    <x v="0"/>
    <m/>
    <x v="225"/>
    <x v="97"/>
    <x v="13"/>
    <n v="73000"/>
    <n v="107000"/>
    <n v="90000"/>
    <x v="0"/>
    <x v="0"/>
    <x v="0"/>
    <x v="0"/>
    <x v="0"/>
  </r>
  <r>
    <x v="0"/>
    <n v="3.4"/>
    <x v="226"/>
    <x v="53"/>
    <x v="14"/>
    <n v="90000"/>
    <n v="127000"/>
    <n v="108500"/>
    <x v="0"/>
    <x v="0"/>
    <x v="0"/>
    <x v="0"/>
    <x v="0"/>
  </r>
  <r>
    <x v="0"/>
    <n v="3.7"/>
    <x v="227"/>
    <x v="53"/>
    <x v="14"/>
    <n v="84000"/>
    <n v="126000"/>
    <n v="105000"/>
    <x v="0"/>
    <x v="0"/>
    <x v="0"/>
    <x v="0"/>
    <x v="0"/>
  </r>
  <r>
    <x v="0"/>
    <m/>
    <x v="228"/>
    <x v="98"/>
    <x v="15"/>
    <n v="94000"/>
    <n v="120000"/>
    <n v="107000"/>
    <x v="0"/>
    <x v="0"/>
    <x v="0"/>
    <x v="0"/>
    <x v="0"/>
  </r>
  <r>
    <x v="8"/>
    <n v="3.9"/>
    <x v="229"/>
    <x v="99"/>
    <x v="15"/>
    <n v="107000"/>
    <n v="154000"/>
    <n v="130500"/>
    <x v="0"/>
    <x v="0"/>
    <x v="0"/>
    <x v="0"/>
    <x v="0"/>
  </r>
  <r>
    <x v="0"/>
    <n v="3.9"/>
    <x v="230"/>
    <x v="100"/>
    <x v="15"/>
    <n v="74000"/>
    <n v="123000"/>
    <n v="98500"/>
    <x v="0"/>
    <x v="0"/>
    <x v="0"/>
    <x v="0"/>
    <x v="0"/>
  </r>
  <r>
    <x v="153"/>
    <n v="3.6"/>
    <x v="231"/>
    <x v="101"/>
    <x v="15"/>
    <n v="95000"/>
    <n v="152000"/>
    <n v="123500"/>
    <x v="0"/>
    <x v="0"/>
    <x v="0"/>
    <x v="0"/>
    <x v="0"/>
  </r>
  <r>
    <x v="154"/>
    <n v="3.6"/>
    <x v="231"/>
    <x v="101"/>
    <x v="15"/>
    <n v="81000"/>
    <n v="129000"/>
    <n v="105000"/>
    <x v="0"/>
    <x v="0"/>
    <x v="0"/>
    <x v="0"/>
    <x v="0"/>
  </r>
  <r>
    <x v="3"/>
    <n v="4.3"/>
    <x v="232"/>
    <x v="102"/>
    <x v="16"/>
    <n v="85000"/>
    <n v="115000"/>
    <n v="100000"/>
    <x v="0"/>
    <x v="0"/>
    <x v="0"/>
    <x v="0"/>
    <x v="0"/>
  </r>
  <r>
    <x v="122"/>
    <n v="3.9"/>
    <x v="233"/>
    <x v="103"/>
    <x v="16"/>
    <n v="157000"/>
    <n v="192000"/>
    <n v="174500"/>
    <x v="0"/>
    <x v="1"/>
    <x v="1"/>
    <x v="0"/>
    <x v="0"/>
  </r>
  <r>
    <x v="155"/>
    <n v="3.5"/>
    <x v="180"/>
    <x v="103"/>
    <x v="16"/>
    <n v="133000"/>
    <n v="180000"/>
    <n v="156500"/>
    <x v="0"/>
    <x v="0"/>
    <x v="0"/>
    <x v="0"/>
    <x v="0"/>
  </r>
  <r>
    <x v="155"/>
    <n v="3.5"/>
    <x v="180"/>
    <x v="103"/>
    <x v="16"/>
    <n v="133000"/>
    <n v="180000"/>
    <n v="156500"/>
    <x v="0"/>
    <x v="0"/>
    <x v="0"/>
    <x v="0"/>
    <x v="0"/>
  </r>
  <r>
    <x v="156"/>
    <n v="4"/>
    <x v="234"/>
    <x v="103"/>
    <x v="16"/>
    <n v="125000"/>
    <n v="164000"/>
    <n v="144500"/>
    <x v="0"/>
    <x v="0"/>
    <x v="0"/>
    <x v="0"/>
    <x v="0"/>
  </r>
  <r>
    <x v="0"/>
    <n v="4.0999999999999996"/>
    <x v="162"/>
    <x v="103"/>
    <x v="16"/>
    <n v="125000"/>
    <n v="145000"/>
    <n v="135000"/>
    <x v="0"/>
    <x v="1"/>
    <x v="0"/>
    <x v="0"/>
    <x v="0"/>
  </r>
  <r>
    <x v="157"/>
    <n v="3.7"/>
    <x v="184"/>
    <x v="103"/>
    <x v="16"/>
    <n v="124000"/>
    <n v="178000"/>
    <n v="151000"/>
    <x v="0"/>
    <x v="0"/>
    <x v="0"/>
    <x v="0"/>
    <x v="0"/>
  </r>
  <r>
    <x v="158"/>
    <n v="3.5"/>
    <x v="235"/>
    <x v="103"/>
    <x v="16"/>
    <n v="121000"/>
    <n v="176000"/>
    <n v="148500"/>
    <x v="0"/>
    <x v="1"/>
    <x v="0"/>
    <x v="0"/>
    <x v="0"/>
  </r>
  <r>
    <x v="8"/>
    <n v="4"/>
    <x v="97"/>
    <x v="103"/>
    <x v="16"/>
    <n v="119000"/>
    <n v="159000"/>
    <n v="139000"/>
    <x v="0"/>
    <x v="0"/>
    <x v="0"/>
    <x v="0"/>
    <x v="0"/>
  </r>
  <r>
    <x v="0"/>
    <n v="4.2"/>
    <x v="236"/>
    <x v="103"/>
    <x v="16"/>
    <n v="112000"/>
    <n v="160000"/>
    <n v="136000"/>
    <x v="0"/>
    <x v="0"/>
    <x v="0"/>
    <x v="0"/>
    <x v="0"/>
  </r>
  <r>
    <x v="159"/>
    <n v="3.9"/>
    <x v="237"/>
    <x v="103"/>
    <x v="16"/>
    <n v="112000"/>
    <n v="152000"/>
    <n v="1320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3"/>
    <x v="238"/>
    <x v="103"/>
    <x v="16"/>
    <n v="110000"/>
    <n v="151000"/>
    <n v="130500"/>
    <x v="0"/>
    <x v="0"/>
    <x v="0"/>
    <x v="0"/>
    <x v="0"/>
  </r>
  <r>
    <x v="0"/>
    <n v="4"/>
    <x v="239"/>
    <x v="103"/>
    <x v="16"/>
    <n v="109000"/>
    <n v="144000"/>
    <n v="126500"/>
    <x v="0"/>
    <x v="0"/>
    <x v="0"/>
    <x v="0"/>
    <x v="0"/>
  </r>
  <r>
    <x v="160"/>
    <n v="3.6"/>
    <x v="240"/>
    <x v="103"/>
    <x v="16"/>
    <n v="100000"/>
    <n v="136000"/>
    <n v="118000"/>
    <x v="0"/>
    <x v="0"/>
    <x v="0"/>
    <x v="0"/>
    <x v="0"/>
  </r>
  <r>
    <x v="161"/>
    <n v="3.8"/>
    <x v="241"/>
    <x v="103"/>
    <x v="16"/>
    <n v="97000"/>
    <n v="150000"/>
    <n v="123500"/>
    <x v="0"/>
    <x v="0"/>
    <x v="0"/>
    <x v="0"/>
    <x v="0"/>
  </r>
  <r>
    <x v="0"/>
    <n v="4"/>
    <x v="242"/>
    <x v="103"/>
    <x v="16"/>
    <n v="97000"/>
    <n v="198000"/>
    <n v="147500"/>
    <x v="0"/>
    <x v="0"/>
    <x v="0"/>
    <x v="0"/>
    <x v="0"/>
  </r>
  <r>
    <x v="0"/>
    <n v="4.2"/>
    <x v="243"/>
    <x v="103"/>
    <x v="16"/>
    <n v="96000"/>
    <n v="132000"/>
    <n v="114000"/>
    <x v="0"/>
    <x v="0"/>
    <x v="1"/>
    <x v="0"/>
    <x v="0"/>
  </r>
  <r>
    <x v="162"/>
    <n v="4.0999999999999996"/>
    <x v="162"/>
    <x v="103"/>
    <x v="16"/>
    <n v="60320"/>
    <n v="104000"/>
    <n v="82160"/>
    <x v="0"/>
    <x v="0"/>
    <x v="0"/>
    <x v="0"/>
    <x v="0"/>
  </r>
  <r>
    <x v="163"/>
    <n v="3.9"/>
    <x v="244"/>
    <x v="104"/>
    <x v="16"/>
    <n v="89000"/>
    <n v="124000"/>
    <n v="106500"/>
    <x v="0"/>
    <x v="0"/>
    <x v="0"/>
    <x v="0"/>
    <x v="0"/>
  </r>
  <r>
    <x v="164"/>
    <n v="3.7"/>
    <x v="245"/>
    <x v="105"/>
    <x v="16"/>
    <n v="116000"/>
    <n v="169000"/>
    <n v="142500"/>
    <x v="0"/>
    <x v="1"/>
    <x v="0"/>
    <x v="0"/>
    <x v="0"/>
  </r>
  <r>
    <x v="0"/>
    <n v="4"/>
    <x v="246"/>
    <x v="105"/>
    <x v="16"/>
    <n v="99000"/>
    <n v="137000"/>
    <n v="118000"/>
    <x v="0"/>
    <x v="0"/>
    <x v="0"/>
    <x v="0"/>
    <x v="0"/>
  </r>
  <r>
    <x v="165"/>
    <n v="4.5"/>
    <x v="247"/>
    <x v="105"/>
    <x v="16"/>
    <n v="83000"/>
    <n v="129000"/>
    <n v="106000"/>
    <x v="0"/>
    <x v="0"/>
    <x v="0"/>
    <x v="0"/>
    <x v="0"/>
  </r>
  <r>
    <x v="166"/>
    <n v="4.2"/>
    <x v="248"/>
    <x v="106"/>
    <x v="16"/>
    <n v="67000"/>
    <n v="92000"/>
    <n v="79500"/>
    <x v="0"/>
    <x v="0"/>
    <x v="0"/>
    <x v="0"/>
    <x v="0"/>
  </r>
  <r>
    <x v="167"/>
    <n v="3.6"/>
    <x v="249"/>
    <x v="107"/>
    <x v="16"/>
    <n v="86000"/>
    <n v="117000"/>
    <n v="101500"/>
    <x v="0"/>
    <x v="0"/>
    <x v="0"/>
    <x v="0"/>
    <x v="0"/>
  </r>
  <r>
    <x v="168"/>
    <n v="1"/>
    <x v="250"/>
    <x v="108"/>
    <x v="16"/>
    <n v="113000"/>
    <n v="159000"/>
    <n v="136000"/>
    <x v="0"/>
    <x v="0"/>
    <x v="1"/>
    <x v="0"/>
    <x v="0"/>
  </r>
  <r>
    <x v="169"/>
    <n v="4.2"/>
    <x v="50"/>
    <x v="108"/>
    <x v="16"/>
    <n v="104000"/>
    <n v="135200"/>
    <n v="1196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8"/>
    <n v="3.1"/>
    <x v="251"/>
    <x v="108"/>
    <x v="16"/>
    <n v="90000"/>
    <n v="139000"/>
    <n v="114500"/>
    <x v="0"/>
    <x v="0"/>
    <x v="0"/>
    <x v="0"/>
    <x v="0"/>
  </r>
  <r>
    <x v="170"/>
    <n v="3"/>
    <x v="252"/>
    <x v="109"/>
    <x v="16"/>
    <n v="112000"/>
    <n v="161000"/>
    <n v="136500"/>
    <x v="0"/>
    <x v="0"/>
    <x v="0"/>
    <x v="0"/>
    <x v="0"/>
  </r>
  <r>
    <x v="0"/>
    <n v="3.9"/>
    <x v="212"/>
    <x v="110"/>
    <x v="16"/>
    <n v="99000"/>
    <n v="135000"/>
    <n v="117000"/>
    <x v="0"/>
    <x v="0"/>
    <x v="0"/>
    <x v="0"/>
    <x v="0"/>
  </r>
  <r>
    <x v="171"/>
    <n v="4.9000000000000004"/>
    <x v="253"/>
    <x v="111"/>
    <x v="17"/>
    <n v="109000"/>
    <n v="143000"/>
    <n v="126000"/>
    <x v="0"/>
    <x v="0"/>
    <x v="0"/>
    <x v="0"/>
    <x v="0"/>
  </r>
  <r>
    <x v="0"/>
    <n v="4.4000000000000004"/>
    <x v="254"/>
    <x v="111"/>
    <x v="17"/>
    <n v="96000"/>
    <n v="129000"/>
    <n v="112500"/>
    <x v="0"/>
    <x v="0"/>
    <x v="0"/>
    <x v="0"/>
    <x v="0"/>
  </r>
  <r>
    <x v="172"/>
    <n v="5"/>
    <x v="255"/>
    <x v="111"/>
    <x v="17"/>
    <n v="86000"/>
    <n v="119000"/>
    <n v="102500"/>
    <x v="0"/>
    <x v="0"/>
    <x v="0"/>
    <x v="0"/>
    <x v="0"/>
  </r>
  <r>
    <x v="173"/>
    <n v="4.2"/>
    <x v="256"/>
    <x v="111"/>
    <x v="17"/>
    <n v="84000"/>
    <n v="122000"/>
    <n v="103000"/>
    <x v="0"/>
    <x v="0"/>
    <x v="0"/>
    <x v="0"/>
    <x v="0"/>
  </r>
  <r>
    <x v="69"/>
    <n v="5"/>
    <x v="257"/>
    <x v="111"/>
    <x v="17"/>
    <n v="82000"/>
    <n v="123000"/>
    <n v="102500"/>
    <x v="0"/>
    <x v="0"/>
    <x v="0"/>
    <x v="0"/>
    <x v="0"/>
  </r>
  <r>
    <x v="174"/>
    <n v="3.8"/>
    <x v="258"/>
    <x v="112"/>
    <x v="17"/>
    <n v="56000"/>
    <n v="81000"/>
    <n v="68500"/>
    <x v="0"/>
    <x v="0"/>
    <x v="0"/>
    <x v="0"/>
    <x v="0"/>
  </r>
  <r>
    <x v="6"/>
    <n v="4"/>
    <x v="259"/>
    <x v="113"/>
    <x v="17"/>
    <n v="118000"/>
    <n v="217000"/>
    <n v="167500"/>
    <x v="0"/>
    <x v="0"/>
    <x v="0"/>
    <x v="0"/>
    <x v="0"/>
  </r>
  <r>
    <x v="22"/>
    <n v="3.3"/>
    <x v="260"/>
    <x v="113"/>
    <x v="17"/>
    <n v="109000"/>
    <n v="156000"/>
    <n v="132500"/>
    <x v="0"/>
    <x v="0"/>
    <x v="0"/>
    <x v="0"/>
    <x v="0"/>
  </r>
  <r>
    <x v="175"/>
    <n v="4"/>
    <x v="259"/>
    <x v="113"/>
    <x v="17"/>
    <n v="94000"/>
    <n v="186000"/>
    <n v="140000"/>
    <x v="0"/>
    <x v="0"/>
    <x v="0"/>
    <x v="0"/>
    <x v="0"/>
  </r>
  <r>
    <x v="0"/>
    <n v="3.3"/>
    <x v="260"/>
    <x v="113"/>
    <x v="17"/>
    <n v="84000"/>
    <n v="124000"/>
    <n v="104000"/>
    <x v="0"/>
    <x v="0"/>
    <x v="0"/>
    <x v="0"/>
    <x v="0"/>
  </r>
  <r>
    <x v="0"/>
    <n v="4.2"/>
    <x v="261"/>
    <x v="114"/>
    <x v="17"/>
    <n v="72000"/>
    <n v="112000"/>
    <n v="92000"/>
    <x v="0"/>
    <x v="0"/>
    <x v="0"/>
    <x v="0"/>
    <x v="0"/>
  </r>
  <r>
    <x v="176"/>
    <n v="4.2"/>
    <x v="262"/>
    <x v="115"/>
    <x v="17"/>
    <n v="58000"/>
    <n v="89000"/>
    <n v="73500"/>
    <x v="0"/>
    <x v="0"/>
    <x v="0"/>
    <x v="0"/>
    <x v="0"/>
  </r>
  <r>
    <x v="0"/>
    <n v="4.2"/>
    <x v="263"/>
    <x v="116"/>
    <x v="17"/>
    <n v="106000"/>
    <n v="242000"/>
    <n v="174000"/>
    <x v="0"/>
    <x v="0"/>
    <x v="0"/>
    <x v="0"/>
    <x v="0"/>
  </r>
  <r>
    <x v="0"/>
    <m/>
    <x v="264"/>
    <x v="116"/>
    <x v="17"/>
    <n v="89000"/>
    <n v="130000"/>
    <n v="109500"/>
    <x v="0"/>
    <x v="1"/>
    <x v="0"/>
    <x v="0"/>
    <x v="0"/>
  </r>
  <r>
    <x v="177"/>
    <n v="3.6"/>
    <x v="265"/>
    <x v="117"/>
    <x v="17"/>
    <n v="146000"/>
    <n v="234000"/>
    <n v="190000"/>
    <x v="0"/>
    <x v="0"/>
    <x v="0"/>
    <x v="0"/>
    <x v="0"/>
  </r>
  <r>
    <x v="178"/>
    <n v="3.6"/>
    <x v="265"/>
    <x v="117"/>
    <x v="17"/>
    <n v="112000"/>
    <n v="179000"/>
    <n v="145500"/>
    <x v="0"/>
    <x v="0"/>
    <x v="0"/>
    <x v="0"/>
    <x v="0"/>
  </r>
  <r>
    <x v="0"/>
    <n v="5"/>
    <x v="266"/>
    <x v="117"/>
    <x v="17"/>
    <n v="85000"/>
    <n v="127000"/>
    <n v="106000"/>
    <x v="0"/>
    <x v="1"/>
    <x v="0"/>
    <x v="0"/>
    <x v="0"/>
  </r>
  <r>
    <x v="0"/>
    <n v="3.7"/>
    <x v="267"/>
    <x v="117"/>
    <x v="17"/>
    <n v="81000"/>
    <n v="184000"/>
    <n v="132500"/>
    <x v="0"/>
    <x v="0"/>
    <x v="0"/>
    <x v="0"/>
    <x v="0"/>
  </r>
  <r>
    <x v="179"/>
    <n v="4.0999999999999996"/>
    <x v="268"/>
    <x v="117"/>
    <x v="17"/>
    <n v="38000"/>
    <n v="58000"/>
    <n v="48000"/>
    <x v="0"/>
    <x v="0"/>
    <x v="0"/>
    <x v="0"/>
    <x v="0"/>
  </r>
  <r>
    <x v="0"/>
    <n v="4.0999999999999996"/>
    <x v="269"/>
    <x v="118"/>
    <x v="17"/>
    <n v="156000"/>
    <n v="184000"/>
    <n v="170000"/>
    <x v="0"/>
    <x v="0"/>
    <x v="0"/>
    <x v="0"/>
    <x v="0"/>
  </r>
  <r>
    <x v="180"/>
    <n v="2.5"/>
    <x v="270"/>
    <x v="119"/>
    <x v="17"/>
    <n v="85000"/>
    <n v="95000"/>
    <n v="90000"/>
    <x v="0"/>
    <x v="0"/>
    <x v="0"/>
    <x v="0"/>
    <x v="0"/>
  </r>
  <r>
    <x v="181"/>
    <n v="2.8"/>
    <x v="271"/>
    <x v="120"/>
    <x v="17"/>
    <n v="80000"/>
    <n v="126000"/>
    <n v="103000"/>
    <x v="0"/>
    <x v="0"/>
    <x v="0"/>
    <x v="0"/>
    <x v="0"/>
  </r>
  <r>
    <x v="182"/>
    <n v="3.3"/>
    <x v="272"/>
    <x v="121"/>
    <x v="17"/>
    <n v="81000"/>
    <n v="112000"/>
    <n v="96500"/>
    <x v="0"/>
    <x v="0"/>
    <x v="0"/>
    <x v="0"/>
    <x v="0"/>
  </r>
  <r>
    <x v="183"/>
    <n v="3.7"/>
    <x v="273"/>
    <x v="122"/>
    <x v="17"/>
    <n v="107000"/>
    <n v="157000"/>
    <n v="132000"/>
    <x v="0"/>
    <x v="0"/>
    <x v="0"/>
    <x v="0"/>
    <x v="0"/>
  </r>
  <r>
    <x v="0"/>
    <n v="3.4"/>
    <x v="274"/>
    <x v="122"/>
    <x v="17"/>
    <n v="85000"/>
    <n v="122000"/>
    <n v="103500"/>
    <x v="0"/>
    <x v="0"/>
    <x v="0"/>
    <x v="0"/>
    <x v="0"/>
  </r>
  <r>
    <x v="184"/>
    <n v="3.4"/>
    <x v="274"/>
    <x v="122"/>
    <x v="17"/>
    <n v="79000"/>
    <n v="118000"/>
    <n v="98500"/>
    <x v="0"/>
    <x v="0"/>
    <x v="0"/>
    <x v="0"/>
    <x v="0"/>
  </r>
  <r>
    <x v="184"/>
    <n v="3.4"/>
    <x v="274"/>
    <x v="122"/>
    <x v="17"/>
    <n v="79000"/>
    <n v="118000"/>
    <n v="98500"/>
    <x v="0"/>
    <x v="0"/>
    <x v="0"/>
    <x v="0"/>
    <x v="0"/>
  </r>
  <r>
    <x v="0"/>
    <n v="4.4000000000000004"/>
    <x v="275"/>
    <x v="123"/>
    <x v="17"/>
    <n v="79000"/>
    <n v="114000"/>
    <n v="96500"/>
    <x v="0"/>
    <x v="0"/>
    <x v="0"/>
    <x v="0"/>
    <x v="0"/>
  </r>
  <r>
    <x v="3"/>
    <n v="4.4000000000000004"/>
    <x v="275"/>
    <x v="123"/>
    <x v="17"/>
    <n v="69000"/>
    <n v="99000"/>
    <n v="84000"/>
    <x v="0"/>
    <x v="0"/>
    <x v="0"/>
    <x v="0"/>
    <x v="0"/>
  </r>
  <r>
    <x v="0"/>
    <n v="3.9"/>
    <x v="276"/>
    <x v="47"/>
    <x v="17"/>
    <n v="113000"/>
    <n v="204000"/>
    <n v="158500"/>
    <x v="0"/>
    <x v="0"/>
    <x v="0"/>
    <x v="0"/>
    <x v="0"/>
  </r>
  <r>
    <x v="0"/>
    <n v="3.9"/>
    <x v="276"/>
    <x v="47"/>
    <x v="17"/>
    <n v="113000"/>
    <n v="204000"/>
    <n v="158500"/>
    <x v="0"/>
    <x v="0"/>
    <x v="0"/>
    <x v="0"/>
    <x v="0"/>
  </r>
  <r>
    <x v="0"/>
    <n v="3.9"/>
    <x v="276"/>
    <x v="47"/>
    <x v="17"/>
    <n v="113000"/>
    <n v="204000"/>
    <n v="158500"/>
    <x v="0"/>
    <x v="0"/>
    <x v="0"/>
    <x v="0"/>
    <x v="0"/>
  </r>
  <r>
    <x v="0"/>
    <n v="3.4"/>
    <x v="277"/>
    <x v="124"/>
    <x v="18"/>
    <n v="83000"/>
    <n v="124000"/>
    <n v="103500"/>
    <x v="0"/>
    <x v="0"/>
    <x v="0"/>
    <x v="0"/>
    <x v="0"/>
  </r>
  <r>
    <x v="0"/>
    <n v="3.6"/>
    <x v="278"/>
    <x v="125"/>
    <x v="19"/>
    <n v="96000"/>
    <n v="135000"/>
    <n v="115500"/>
    <x v="0"/>
    <x v="0"/>
    <x v="0"/>
    <x v="0"/>
    <x v="0"/>
  </r>
  <r>
    <x v="8"/>
    <n v="3.9"/>
    <x v="279"/>
    <x v="126"/>
    <x v="19"/>
    <n v="118000"/>
    <n v="161000"/>
    <n v="139500"/>
    <x v="0"/>
    <x v="0"/>
    <x v="0"/>
    <x v="0"/>
    <x v="0"/>
  </r>
  <r>
    <x v="185"/>
    <n v="4"/>
    <x v="280"/>
    <x v="127"/>
    <x v="19"/>
    <n v="98000"/>
    <n v="133000"/>
    <n v="115500"/>
    <x v="0"/>
    <x v="0"/>
    <x v="0"/>
    <x v="0"/>
    <x v="0"/>
  </r>
  <r>
    <x v="186"/>
    <n v="4"/>
    <x v="280"/>
    <x v="128"/>
    <x v="19"/>
    <n v="94000"/>
    <n v="126000"/>
    <n v="110000"/>
    <x v="0"/>
    <x v="0"/>
    <x v="0"/>
    <x v="0"/>
    <x v="0"/>
  </r>
  <r>
    <x v="0"/>
    <n v="3.6"/>
    <x v="281"/>
    <x v="128"/>
    <x v="19"/>
    <n v="89000"/>
    <n v="129000"/>
    <n v="109000"/>
    <x v="1"/>
    <x v="1"/>
    <x v="1"/>
    <x v="1"/>
    <x v="0"/>
  </r>
  <r>
    <x v="0"/>
    <n v="3.9"/>
    <x v="282"/>
    <x v="128"/>
    <x v="19"/>
    <n v="85000"/>
    <n v="117000"/>
    <n v="101000"/>
    <x v="0"/>
    <x v="0"/>
    <x v="0"/>
    <x v="0"/>
    <x v="0"/>
  </r>
  <r>
    <x v="187"/>
    <n v="3.8"/>
    <x v="283"/>
    <x v="129"/>
    <x v="19"/>
    <n v="85000"/>
    <n v="127000"/>
    <n v="106000"/>
    <x v="0"/>
    <x v="0"/>
    <x v="0"/>
    <x v="0"/>
    <x v="0"/>
  </r>
  <r>
    <x v="0"/>
    <n v="3.6"/>
    <x v="284"/>
    <x v="130"/>
    <x v="19"/>
    <n v="79000"/>
    <n v="109000"/>
    <n v="94000"/>
    <x v="0"/>
    <x v="0"/>
    <x v="0"/>
    <x v="0"/>
    <x v="0"/>
  </r>
  <r>
    <x v="0"/>
    <n v="2.9"/>
    <x v="285"/>
    <x v="131"/>
    <x v="19"/>
    <n v="91000"/>
    <n v="123000"/>
    <n v="107000"/>
    <x v="0"/>
    <x v="0"/>
    <x v="0"/>
    <x v="0"/>
    <x v="0"/>
  </r>
  <r>
    <x v="94"/>
    <n v="2.9"/>
    <x v="285"/>
    <x v="131"/>
    <x v="19"/>
    <n v="82000"/>
    <n v="114000"/>
    <n v="98000"/>
    <x v="0"/>
    <x v="0"/>
    <x v="0"/>
    <x v="0"/>
    <x v="0"/>
  </r>
  <r>
    <x v="188"/>
    <m/>
    <x v="286"/>
    <x v="132"/>
    <x v="19"/>
    <n v="77000"/>
    <n v="115000"/>
    <n v="96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5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0"/>
    <n v="3.6"/>
    <x v="287"/>
    <x v="133"/>
    <x v="19"/>
    <n v="86000"/>
    <n v="118000"/>
    <n v="102000"/>
    <x v="0"/>
    <x v="0"/>
    <x v="0"/>
    <x v="0"/>
    <x v="0"/>
  </r>
  <r>
    <x v="189"/>
    <n v="3.9"/>
    <x v="288"/>
    <x v="134"/>
    <x v="20"/>
    <n v="119000"/>
    <n v="157000"/>
    <n v="138000"/>
    <x v="0"/>
    <x v="1"/>
    <x v="0"/>
    <x v="0"/>
    <x v="0"/>
  </r>
  <r>
    <x v="8"/>
    <m/>
    <x v="289"/>
    <x v="134"/>
    <x v="20"/>
    <n v="114000"/>
    <n v="160000"/>
    <n v="137000"/>
    <x v="0"/>
    <x v="0"/>
    <x v="0"/>
    <x v="0"/>
    <x v="0"/>
  </r>
  <r>
    <x v="8"/>
    <n v="3.7"/>
    <x v="290"/>
    <x v="135"/>
    <x v="20"/>
    <n v="101000"/>
    <n v="136000"/>
    <n v="118500"/>
    <x v="0"/>
    <x v="0"/>
    <x v="0"/>
    <x v="0"/>
    <x v="0"/>
  </r>
  <r>
    <x v="190"/>
    <n v="3.9"/>
    <x v="291"/>
    <x v="132"/>
    <x v="20"/>
    <n v="160000"/>
    <n v="232000"/>
    <n v="196000"/>
    <x v="0"/>
    <x v="0"/>
    <x v="0"/>
    <x v="0"/>
    <x v="0"/>
  </r>
  <r>
    <x v="191"/>
    <n v="4.0999999999999996"/>
    <x v="292"/>
    <x v="136"/>
    <x v="20"/>
    <n v="95000"/>
    <n v="142000"/>
    <n v="118500"/>
    <x v="0"/>
    <x v="0"/>
    <x v="0"/>
    <x v="0"/>
    <x v="0"/>
  </r>
  <r>
    <x v="192"/>
    <n v="2.8"/>
    <x v="293"/>
    <x v="137"/>
    <x v="20"/>
    <n v="124000"/>
    <n v="190000"/>
    <n v="157000"/>
    <x v="1"/>
    <x v="0"/>
    <x v="0"/>
    <x v="0"/>
    <x v="0"/>
  </r>
  <r>
    <x v="193"/>
    <n v="3.5"/>
    <x v="294"/>
    <x v="138"/>
    <x v="21"/>
    <n v="90000"/>
    <n v="124000"/>
    <n v="107000"/>
    <x v="0"/>
    <x v="0"/>
    <x v="0"/>
    <x v="0"/>
    <x v="0"/>
  </r>
  <r>
    <x v="6"/>
    <n v="3.9"/>
    <x v="295"/>
    <x v="139"/>
    <x v="21"/>
    <n v="98000"/>
    <n v="135000"/>
    <n v="116500"/>
    <x v="0"/>
    <x v="0"/>
    <x v="0"/>
    <x v="0"/>
    <x v="0"/>
  </r>
  <r>
    <x v="6"/>
    <n v="4"/>
    <x v="296"/>
    <x v="140"/>
    <x v="21"/>
    <n v="111000"/>
    <n v="147000"/>
    <n v="129000"/>
    <x v="0"/>
    <x v="0"/>
    <x v="0"/>
    <x v="0"/>
    <x v="0"/>
  </r>
  <r>
    <x v="44"/>
    <n v="3.9"/>
    <x v="297"/>
    <x v="140"/>
    <x v="21"/>
    <n v="91000"/>
    <n v="131000"/>
    <n v="111000"/>
    <x v="0"/>
    <x v="0"/>
    <x v="0"/>
    <x v="0"/>
    <x v="0"/>
  </r>
  <r>
    <x v="0"/>
    <n v="3.8"/>
    <x v="298"/>
    <x v="141"/>
    <x v="21"/>
    <n v="90000"/>
    <n v="124000"/>
    <n v="107000"/>
    <x v="0"/>
    <x v="0"/>
    <x v="0"/>
    <x v="0"/>
    <x v="0"/>
  </r>
  <r>
    <x v="0"/>
    <n v="4.9000000000000004"/>
    <x v="299"/>
    <x v="142"/>
    <x v="21"/>
    <n v="78000"/>
    <n v="108000"/>
    <n v="93000"/>
    <x v="0"/>
    <x v="0"/>
    <x v="0"/>
    <x v="0"/>
    <x v="0"/>
  </r>
  <r>
    <x v="0"/>
    <n v="2.5"/>
    <x v="300"/>
    <x v="142"/>
    <x v="21"/>
    <n v="70000"/>
    <n v="110000"/>
    <n v="90000"/>
    <x v="0"/>
    <x v="0"/>
    <x v="0"/>
    <x v="0"/>
    <x v="0"/>
  </r>
  <r>
    <x v="94"/>
    <n v="4.9000000000000004"/>
    <x v="301"/>
    <x v="143"/>
    <x v="22"/>
    <n v="65000"/>
    <n v="96000"/>
    <n v="80500"/>
    <x v="0"/>
    <x v="0"/>
    <x v="0"/>
    <x v="0"/>
    <x v="0"/>
  </r>
  <r>
    <x v="0"/>
    <n v="5"/>
    <x v="302"/>
    <x v="144"/>
    <x v="23"/>
    <n v="89000"/>
    <n v="127000"/>
    <n v="108000"/>
    <x v="0"/>
    <x v="0"/>
    <x v="0"/>
    <x v="0"/>
    <x v="0"/>
  </r>
  <r>
    <x v="0"/>
    <m/>
    <x v="303"/>
    <x v="145"/>
    <x v="23"/>
    <n v="114000"/>
    <n v="122000"/>
    <n v="118000"/>
    <x v="0"/>
    <x v="0"/>
    <x v="0"/>
    <x v="0"/>
    <x v="0"/>
  </r>
  <r>
    <x v="194"/>
    <n v="4"/>
    <x v="304"/>
    <x v="145"/>
    <x v="23"/>
    <n v="80000"/>
    <n v="125000"/>
    <n v="102500"/>
    <x v="0"/>
    <x v="0"/>
    <x v="0"/>
    <x v="0"/>
    <x v="0"/>
  </r>
  <r>
    <x v="195"/>
    <n v="3.9"/>
    <x v="305"/>
    <x v="146"/>
    <x v="23"/>
    <n v="149000"/>
    <n v="238000"/>
    <n v="193500"/>
    <x v="0"/>
    <x v="0"/>
    <x v="0"/>
    <x v="0"/>
    <x v="0"/>
  </r>
  <r>
    <x v="22"/>
    <n v="3.7"/>
    <x v="306"/>
    <x v="146"/>
    <x v="23"/>
    <n v="119000"/>
    <n v="156000"/>
    <n v="137500"/>
    <x v="0"/>
    <x v="0"/>
    <x v="0"/>
    <x v="0"/>
    <x v="0"/>
  </r>
  <r>
    <x v="6"/>
    <n v="3.5"/>
    <x v="307"/>
    <x v="146"/>
    <x v="23"/>
    <n v="99000"/>
    <n v="136000"/>
    <n v="1175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6"/>
    <n v="3.7"/>
    <x v="308"/>
    <x v="146"/>
    <x v="23"/>
    <n v="85000"/>
    <n v="115000"/>
    <n v="100000"/>
    <x v="0"/>
    <x v="0"/>
    <x v="0"/>
    <x v="0"/>
    <x v="0"/>
  </r>
  <r>
    <x v="197"/>
    <n v="3.6"/>
    <x v="309"/>
    <x v="146"/>
    <x v="23"/>
    <n v="85000"/>
    <n v="118000"/>
    <n v="101500"/>
    <x v="0"/>
    <x v="0"/>
    <x v="0"/>
    <x v="0"/>
    <x v="0"/>
  </r>
  <r>
    <x v="198"/>
    <n v="4.0999999999999996"/>
    <x v="310"/>
    <x v="147"/>
    <x v="23"/>
    <n v="135000"/>
    <n v="183000"/>
    <n v="159000"/>
    <x v="0"/>
    <x v="0"/>
    <x v="0"/>
    <x v="0"/>
    <x v="0"/>
  </r>
  <r>
    <x v="6"/>
    <n v="4.2"/>
    <x v="311"/>
    <x v="147"/>
    <x v="23"/>
    <n v="114000"/>
    <n v="155000"/>
    <n v="134500"/>
    <x v="1"/>
    <x v="1"/>
    <x v="0"/>
    <x v="0"/>
    <x v="0"/>
  </r>
  <r>
    <x v="199"/>
    <n v="4.0999999999999996"/>
    <x v="310"/>
    <x v="147"/>
    <x v="23"/>
    <n v="110000"/>
    <n v="167000"/>
    <n v="138500"/>
    <x v="0"/>
    <x v="0"/>
    <x v="0"/>
    <x v="0"/>
    <x v="0"/>
  </r>
  <r>
    <x v="0"/>
    <n v="4.2"/>
    <x v="312"/>
    <x v="147"/>
    <x v="23"/>
    <n v="92000"/>
    <n v="126000"/>
    <n v="109000"/>
    <x v="0"/>
    <x v="0"/>
    <x v="0"/>
    <x v="0"/>
    <x v="0"/>
  </r>
  <r>
    <x v="200"/>
    <n v="4.2"/>
    <x v="50"/>
    <x v="148"/>
    <x v="23"/>
    <n v="83200"/>
    <n v="93600"/>
    <n v="88400"/>
    <x v="0"/>
    <x v="0"/>
    <x v="0"/>
    <x v="0"/>
    <x v="0"/>
  </r>
  <r>
    <x v="0"/>
    <n v="4"/>
    <x v="313"/>
    <x v="149"/>
    <x v="23"/>
    <n v="88000"/>
    <n v="133000"/>
    <n v="110500"/>
    <x v="0"/>
    <x v="0"/>
    <x v="0"/>
    <x v="0"/>
    <x v="0"/>
  </r>
  <r>
    <x v="22"/>
    <n v="4.2"/>
    <x v="314"/>
    <x v="150"/>
    <x v="23"/>
    <n v="115000"/>
    <n v="154000"/>
    <n v="134500"/>
    <x v="0"/>
    <x v="0"/>
    <x v="0"/>
    <x v="0"/>
    <x v="0"/>
  </r>
  <r>
    <x v="201"/>
    <n v="4"/>
    <x v="315"/>
    <x v="150"/>
    <x v="23"/>
    <n v="96000"/>
    <n v="132000"/>
    <n v="114000"/>
    <x v="0"/>
    <x v="0"/>
    <x v="0"/>
    <x v="0"/>
    <x v="0"/>
  </r>
  <r>
    <x v="0"/>
    <n v="4"/>
    <x v="97"/>
    <x v="150"/>
    <x v="23"/>
    <n v="85000"/>
    <n v="116000"/>
    <n v="100500"/>
    <x v="0"/>
    <x v="0"/>
    <x v="0"/>
    <x v="0"/>
    <x v="0"/>
  </r>
  <r>
    <x v="202"/>
    <n v="4"/>
    <x v="315"/>
    <x v="150"/>
    <x v="23"/>
    <n v="61000"/>
    <n v="90000"/>
    <n v="75500"/>
    <x v="0"/>
    <x v="0"/>
    <x v="0"/>
    <x v="0"/>
    <x v="0"/>
  </r>
  <r>
    <x v="0"/>
    <n v="4"/>
    <x v="316"/>
    <x v="151"/>
    <x v="24"/>
    <n v="70000"/>
    <n v="100000"/>
    <n v="85000"/>
    <x v="0"/>
    <x v="0"/>
    <x v="0"/>
    <x v="0"/>
    <x v="0"/>
  </r>
  <r>
    <x v="0"/>
    <n v="3.2"/>
    <x v="317"/>
    <x v="152"/>
    <x v="25"/>
    <n v="80000"/>
    <n v="116000"/>
    <n v="98000"/>
    <x v="1"/>
    <x v="1"/>
    <x v="1"/>
    <x v="0"/>
    <x v="0"/>
  </r>
  <r>
    <x v="0"/>
    <n v="3.1"/>
    <x v="318"/>
    <x v="152"/>
    <x v="25"/>
    <n v="79000"/>
    <n v="109000"/>
    <n v="94000"/>
    <x v="0"/>
    <x v="0"/>
    <x v="0"/>
    <x v="0"/>
    <x v="0"/>
  </r>
  <r>
    <x v="203"/>
    <n v="3.5"/>
    <x v="319"/>
    <x v="153"/>
    <x v="26"/>
    <n v="63000"/>
    <n v="89000"/>
    <n v="76000"/>
    <x v="0"/>
    <x v="0"/>
    <x v="0"/>
    <x v="0"/>
    <x v="0"/>
  </r>
  <r>
    <x v="204"/>
    <m/>
    <x v="320"/>
    <x v="154"/>
    <x v="27"/>
    <n v="80000"/>
    <n v="100000"/>
    <n v="90000"/>
    <x v="0"/>
    <x v="0"/>
    <x v="0"/>
    <x v="0"/>
    <x v="0"/>
  </r>
  <r>
    <x v="8"/>
    <n v="3.8"/>
    <x v="321"/>
    <x v="155"/>
    <x v="27"/>
    <n v="107000"/>
    <n v="199000"/>
    <n v="153000"/>
    <x v="0"/>
    <x v="0"/>
    <x v="0"/>
    <x v="0"/>
    <x v="0"/>
  </r>
  <r>
    <x v="8"/>
    <n v="3.8"/>
    <x v="322"/>
    <x v="156"/>
    <x v="27"/>
    <n v="80000"/>
    <n v="120000"/>
    <n v="100000"/>
    <x v="0"/>
    <x v="0"/>
    <x v="0"/>
    <x v="0"/>
    <x v="0"/>
  </r>
  <r>
    <x v="0"/>
    <m/>
    <x v="323"/>
    <x v="157"/>
    <x v="27"/>
    <n v="156000"/>
    <n v="208000"/>
    <n v="182000"/>
    <x v="0"/>
    <x v="0"/>
    <x v="0"/>
    <x v="0"/>
    <x v="0"/>
  </r>
  <r>
    <x v="0"/>
    <n v="3.1"/>
    <x v="324"/>
    <x v="158"/>
    <x v="27"/>
    <n v="95000"/>
    <n v="125000"/>
    <n v="110000"/>
    <x v="0"/>
    <x v="0"/>
    <x v="0"/>
    <x v="0"/>
    <x v="0"/>
  </r>
  <r>
    <x v="205"/>
    <n v="2.9"/>
    <x v="325"/>
    <x v="159"/>
    <x v="27"/>
    <n v="116000"/>
    <n v="154000"/>
    <n v="135000"/>
    <x v="0"/>
    <x v="0"/>
    <x v="0"/>
    <x v="0"/>
    <x v="0"/>
  </r>
  <r>
    <x v="206"/>
    <n v="4.0999999999999996"/>
    <x v="326"/>
    <x v="160"/>
    <x v="27"/>
    <n v="77000"/>
    <n v="106000"/>
    <n v="91500"/>
    <x v="0"/>
    <x v="0"/>
    <x v="0"/>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0"/>
    <m/>
    <x v="327"/>
    <x v="161"/>
    <x v="27"/>
    <n v="145600"/>
    <n v="151840"/>
    <n v="148720"/>
    <x v="0"/>
    <x v="1"/>
    <x v="1"/>
    <x v="0"/>
    <x v="0"/>
  </r>
  <r>
    <x v="207"/>
    <n v="4"/>
    <x v="328"/>
    <x v="161"/>
    <x v="27"/>
    <n v="143000"/>
    <n v="210000"/>
    <n v="176500"/>
    <x v="0"/>
    <x v="0"/>
    <x v="0"/>
    <x v="0"/>
    <x v="0"/>
  </r>
  <r>
    <x v="197"/>
    <n v="3.3"/>
    <x v="329"/>
    <x v="27"/>
    <x v="27"/>
    <n v="104000"/>
    <n v="142000"/>
    <n v="123000"/>
    <x v="0"/>
    <x v="0"/>
    <x v="0"/>
    <x v="0"/>
    <x v="0"/>
  </r>
  <r>
    <x v="208"/>
    <n v="4.3"/>
    <x v="330"/>
    <x v="27"/>
    <x v="27"/>
    <n v="66000"/>
    <n v="105000"/>
    <n v="85500"/>
    <x v="0"/>
    <x v="0"/>
    <x v="0"/>
    <x v="0"/>
    <x v="0"/>
  </r>
  <r>
    <x v="0"/>
    <n v="4.2"/>
    <x v="331"/>
    <x v="162"/>
    <x v="27"/>
    <n v="112000"/>
    <n v="165000"/>
    <n v="138500"/>
    <x v="0"/>
    <x v="0"/>
    <x v="0"/>
    <x v="0"/>
    <x v="0"/>
  </r>
  <r>
    <x v="209"/>
    <n v="3.9"/>
    <x v="332"/>
    <x v="163"/>
    <x v="27"/>
    <n v="109000"/>
    <n v="149000"/>
    <n v="129000"/>
    <x v="0"/>
    <x v="0"/>
    <x v="0"/>
    <x v="0"/>
    <x v="0"/>
  </r>
  <r>
    <x v="210"/>
    <n v="4.2"/>
    <x v="333"/>
    <x v="163"/>
    <x v="27"/>
    <n v="103000"/>
    <n v="164000"/>
    <n v="133500"/>
    <x v="0"/>
    <x v="0"/>
    <x v="0"/>
    <x v="0"/>
    <x v="0"/>
  </r>
  <r>
    <x v="211"/>
    <n v="4.5"/>
    <x v="334"/>
    <x v="163"/>
    <x v="27"/>
    <n v="97000"/>
    <n v="139000"/>
    <n v="118000"/>
    <x v="0"/>
    <x v="0"/>
    <x v="0"/>
    <x v="0"/>
    <x v="0"/>
  </r>
  <r>
    <x v="0"/>
    <n v="5"/>
    <x v="335"/>
    <x v="163"/>
    <x v="27"/>
    <n v="81000"/>
    <n v="112000"/>
    <n v="96500"/>
    <x v="1"/>
    <x v="1"/>
    <x v="0"/>
    <x v="0"/>
    <x v="0"/>
  </r>
  <r>
    <x v="8"/>
    <n v="4.2"/>
    <x v="336"/>
    <x v="164"/>
    <x v="27"/>
    <n v="119000"/>
    <n v="187000"/>
    <n v="153000"/>
    <x v="0"/>
    <x v="0"/>
    <x v="0"/>
    <x v="0"/>
    <x v="0"/>
  </r>
  <r>
    <x v="212"/>
    <n v="3.4"/>
    <x v="337"/>
    <x v="165"/>
    <x v="27"/>
    <n v="98000"/>
    <n v="136000"/>
    <n v="117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m/>
    <x v="338"/>
    <x v="166"/>
    <x v="27"/>
    <n v="83000"/>
    <n v="125000"/>
    <n v="104000"/>
    <x v="0"/>
    <x v="0"/>
    <x v="0"/>
    <x v="0"/>
    <x v="0"/>
  </r>
  <r>
    <x v="0"/>
    <n v="4.2"/>
    <x v="248"/>
    <x v="167"/>
    <x v="27"/>
    <n v="104000"/>
    <n v="145000"/>
    <n v="1245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3"/>
    <m/>
    <x v="339"/>
    <x v="168"/>
    <x v="27"/>
    <n v="53000"/>
    <n v="77000"/>
    <n v="65000"/>
    <x v="0"/>
    <x v="0"/>
    <x v="0"/>
    <x v="0"/>
    <x v="0"/>
  </r>
  <r>
    <x v="214"/>
    <n v="3.8"/>
    <x v="340"/>
    <x v="169"/>
    <x v="28"/>
    <n v="5000"/>
    <n v="7000"/>
    <n v="6000"/>
    <x v="0"/>
    <x v="0"/>
    <x v="0"/>
    <x v="0"/>
    <x v="0"/>
  </r>
  <r>
    <x v="0"/>
    <n v="3.4"/>
    <x v="341"/>
    <x v="170"/>
    <x v="28"/>
    <n v="80000"/>
    <n v="80000"/>
    <n v="80000"/>
    <x v="0"/>
    <x v="0"/>
    <x v="0"/>
    <x v="0"/>
    <x v="0"/>
  </r>
  <r>
    <x v="0"/>
    <n v="3.7"/>
    <x v="342"/>
    <x v="171"/>
    <x v="29"/>
    <n v="84000"/>
    <n v="121000"/>
    <n v="102500"/>
    <x v="0"/>
    <x v="0"/>
    <x v="0"/>
    <x v="0"/>
    <x v="0"/>
  </r>
  <r>
    <x v="215"/>
    <n v="4.5"/>
    <x v="343"/>
    <x v="172"/>
    <x v="30"/>
    <n v="130000"/>
    <n v="164000"/>
    <n v="147000"/>
    <x v="0"/>
    <x v="0"/>
    <x v="0"/>
    <x v="0"/>
    <x v="0"/>
  </r>
  <r>
    <x v="216"/>
    <n v="4.0999999999999996"/>
    <x v="344"/>
    <x v="173"/>
    <x v="30"/>
    <n v="85000"/>
    <n v="120000"/>
    <n v="102500"/>
    <x v="0"/>
    <x v="0"/>
    <x v="0"/>
    <x v="0"/>
    <x v="0"/>
  </r>
  <r>
    <x v="217"/>
    <n v="4.3"/>
    <x v="345"/>
    <x v="174"/>
    <x v="30"/>
    <n v="202000"/>
    <n v="316000"/>
    <n v="259000"/>
    <x v="0"/>
    <x v="0"/>
    <x v="0"/>
    <x v="0"/>
    <x v="0"/>
  </r>
  <r>
    <x v="0"/>
    <n v="1"/>
    <x v="346"/>
    <x v="174"/>
    <x v="30"/>
    <n v="180000"/>
    <n v="200000"/>
    <n v="190000"/>
    <x v="0"/>
    <x v="0"/>
    <x v="0"/>
    <x v="0"/>
    <x v="0"/>
  </r>
  <r>
    <x v="218"/>
    <n v="4.5"/>
    <x v="347"/>
    <x v="174"/>
    <x v="30"/>
    <n v="179000"/>
    <n v="210000"/>
    <n v="194500"/>
    <x v="0"/>
    <x v="0"/>
    <x v="0"/>
    <x v="0"/>
    <x v="0"/>
  </r>
  <r>
    <x v="219"/>
    <n v="4.2"/>
    <x v="348"/>
    <x v="174"/>
    <x v="30"/>
    <n v="170000"/>
    <n v="200000"/>
    <n v="185000"/>
    <x v="0"/>
    <x v="0"/>
    <x v="0"/>
    <x v="0"/>
    <x v="0"/>
  </r>
  <r>
    <x v="55"/>
    <n v="4.8"/>
    <x v="81"/>
    <x v="174"/>
    <x v="30"/>
    <n v="160000"/>
    <n v="255000"/>
    <n v="207500"/>
    <x v="0"/>
    <x v="0"/>
    <x v="0"/>
    <x v="0"/>
    <x v="0"/>
  </r>
  <r>
    <x v="220"/>
    <n v="3.9"/>
    <x v="349"/>
    <x v="174"/>
    <x v="30"/>
    <n v="160000"/>
    <n v="225000"/>
    <n v="192500"/>
    <x v="0"/>
    <x v="0"/>
    <x v="0"/>
    <x v="0"/>
    <x v="0"/>
  </r>
  <r>
    <x v="221"/>
    <n v="4.0999999999999996"/>
    <x v="350"/>
    <x v="174"/>
    <x v="30"/>
    <n v="157000"/>
    <n v="262000"/>
    <n v="209500"/>
    <x v="0"/>
    <x v="0"/>
    <x v="0"/>
    <x v="0"/>
    <x v="0"/>
  </r>
  <r>
    <x v="0"/>
    <n v="4.3"/>
    <x v="351"/>
    <x v="174"/>
    <x v="30"/>
    <n v="150000"/>
    <n v="200000"/>
    <n v="175000"/>
    <x v="0"/>
    <x v="0"/>
    <x v="0"/>
    <x v="0"/>
    <x v="0"/>
  </r>
  <r>
    <x v="0"/>
    <n v="4.8"/>
    <x v="352"/>
    <x v="174"/>
    <x v="30"/>
    <n v="150000"/>
    <n v="150000"/>
    <n v="150000"/>
    <x v="0"/>
    <x v="0"/>
    <x v="0"/>
    <x v="0"/>
    <x v="0"/>
  </r>
  <r>
    <x v="0"/>
    <n v="5"/>
    <x v="353"/>
    <x v="174"/>
    <x v="30"/>
    <n v="150000"/>
    <n v="175000"/>
    <n v="162500"/>
    <x v="0"/>
    <x v="0"/>
    <x v="0"/>
    <x v="0"/>
    <x v="0"/>
  </r>
  <r>
    <x v="0"/>
    <n v="4.8"/>
    <x v="354"/>
    <x v="174"/>
    <x v="30"/>
    <n v="150000"/>
    <n v="200000"/>
    <n v="175000"/>
    <x v="0"/>
    <x v="0"/>
    <x v="0"/>
    <x v="0"/>
    <x v="0"/>
  </r>
  <r>
    <x v="171"/>
    <n v="3.7"/>
    <x v="355"/>
    <x v="174"/>
    <x v="30"/>
    <n v="150000"/>
    <n v="200000"/>
    <n v="175000"/>
    <x v="0"/>
    <x v="0"/>
    <x v="0"/>
    <x v="0"/>
    <x v="0"/>
  </r>
  <r>
    <x v="0"/>
    <n v="5"/>
    <x v="356"/>
    <x v="174"/>
    <x v="30"/>
    <n v="140000"/>
    <n v="140000"/>
    <n v="140000"/>
    <x v="0"/>
    <x v="0"/>
    <x v="0"/>
    <x v="0"/>
    <x v="0"/>
  </r>
  <r>
    <x v="0"/>
    <n v="4"/>
    <x v="357"/>
    <x v="174"/>
    <x v="30"/>
    <n v="140000"/>
    <n v="140000"/>
    <n v="140000"/>
    <x v="0"/>
    <x v="0"/>
    <x v="0"/>
    <x v="0"/>
    <x v="0"/>
  </r>
  <r>
    <x v="222"/>
    <n v="3.3"/>
    <x v="358"/>
    <x v="174"/>
    <x v="30"/>
    <n v="130000"/>
    <n v="145000"/>
    <n v="137500"/>
    <x v="0"/>
    <x v="0"/>
    <x v="0"/>
    <x v="0"/>
    <x v="0"/>
  </r>
  <r>
    <x v="0"/>
    <n v="4.3"/>
    <x v="359"/>
    <x v="174"/>
    <x v="30"/>
    <n v="130000"/>
    <n v="170000"/>
    <n v="150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223"/>
    <n v="4"/>
    <x v="328"/>
    <x v="174"/>
    <x v="30"/>
    <n v="128000"/>
    <n v="190000"/>
    <n v="159000"/>
    <x v="0"/>
    <x v="0"/>
    <x v="0"/>
    <x v="0"/>
    <x v="0"/>
  </r>
  <r>
    <x v="197"/>
    <n v="3.9"/>
    <x v="112"/>
    <x v="174"/>
    <x v="30"/>
    <n v="113000"/>
    <n v="151000"/>
    <n v="132000"/>
    <x v="0"/>
    <x v="0"/>
    <x v="0"/>
    <x v="0"/>
    <x v="0"/>
  </r>
  <r>
    <x v="224"/>
    <n v="3.5"/>
    <x v="360"/>
    <x v="174"/>
    <x v="30"/>
    <n v="110000"/>
    <n v="151000"/>
    <n v="130500"/>
    <x v="0"/>
    <x v="0"/>
    <x v="0"/>
    <x v="0"/>
    <x v="0"/>
  </r>
  <r>
    <x v="0"/>
    <n v="4"/>
    <x v="361"/>
    <x v="174"/>
    <x v="30"/>
    <n v="105000"/>
    <n v="120000"/>
    <n v="112500"/>
    <x v="0"/>
    <x v="1"/>
    <x v="0"/>
    <x v="1"/>
    <x v="0"/>
  </r>
  <r>
    <x v="225"/>
    <n v="3.8"/>
    <x v="362"/>
    <x v="174"/>
    <x v="30"/>
    <n v="100000"/>
    <n v="140000"/>
    <n v="120000"/>
    <x v="0"/>
    <x v="0"/>
    <x v="0"/>
    <x v="0"/>
    <x v="0"/>
  </r>
  <r>
    <x v="226"/>
    <n v="4"/>
    <x v="363"/>
    <x v="174"/>
    <x v="30"/>
    <n v="97000"/>
    <n v="234000"/>
    <n v="165500"/>
    <x v="0"/>
    <x v="0"/>
    <x v="0"/>
    <x v="0"/>
    <x v="0"/>
  </r>
  <r>
    <x v="0"/>
    <n v="3.9"/>
    <x v="364"/>
    <x v="174"/>
    <x v="30"/>
    <n v="90000"/>
    <n v="100000"/>
    <n v="95000"/>
    <x v="0"/>
    <x v="0"/>
    <x v="0"/>
    <x v="0"/>
    <x v="0"/>
  </r>
  <r>
    <x v="0"/>
    <n v="3.9"/>
    <x v="365"/>
    <x v="174"/>
    <x v="30"/>
    <n v="75000"/>
    <n v="85000"/>
    <n v="80000"/>
    <x v="0"/>
    <x v="0"/>
    <x v="0"/>
    <x v="0"/>
    <x v="0"/>
  </r>
  <r>
    <x v="227"/>
    <n v="4"/>
    <x v="363"/>
    <x v="174"/>
    <x v="30"/>
    <n v="73000"/>
    <n v="176000"/>
    <n v="124500"/>
    <x v="0"/>
    <x v="0"/>
    <x v="0"/>
    <x v="0"/>
    <x v="0"/>
  </r>
  <r>
    <x v="228"/>
    <n v="3.5"/>
    <x v="366"/>
    <x v="174"/>
    <x v="30"/>
    <n v="72000"/>
    <n v="109000"/>
    <n v="90500"/>
    <x v="0"/>
    <x v="0"/>
    <x v="0"/>
    <x v="0"/>
    <x v="0"/>
  </r>
  <r>
    <x v="94"/>
    <n v="3.9"/>
    <x v="367"/>
    <x v="174"/>
    <x v="30"/>
    <n v="70000"/>
    <n v="105000"/>
    <n v="87500"/>
    <x v="0"/>
    <x v="0"/>
    <x v="0"/>
    <x v="0"/>
    <x v="0"/>
  </r>
  <r>
    <x v="229"/>
    <n v="4.0999999999999996"/>
    <x v="368"/>
    <x v="174"/>
    <x v="30"/>
    <n v="69000"/>
    <n v="99000"/>
    <n v="84000"/>
    <x v="0"/>
    <x v="0"/>
    <x v="0"/>
    <x v="0"/>
    <x v="0"/>
  </r>
  <r>
    <x v="0"/>
    <n v="3.6"/>
    <x v="369"/>
    <x v="132"/>
    <x v="30"/>
    <n v="59000"/>
    <n v="82000"/>
    <n v="70500"/>
    <x v="0"/>
    <x v="0"/>
    <x v="0"/>
    <x v="0"/>
    <x v="0"/>
  </r>
  <r>
    <x v="230"/>
    <n v="4.2"/>
    <x v="370"/>
    <x v="175"/>
    <x v="30"/>
    <n v="57000"/>
    <n v="70000"/>
    <n v="63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1"/>
    <n v="3.9"/>
    <x v="371"/>
    <x v="172"/>
    <x v="31"/>
    <n v="76000"/>
    <n v="107000"/>
    <n v="91500"/>
    <x v="0"/>
    <x v="0"/>
    <x v="0"/>
    <x v="0"/>
    <x v="0"/>
  </r>
  <r>
    <x v="232"/>
    <n v="3.7"/>
    <x v="372"/>
    <x v="176"/>
    <x v="31"/>
    <n v="77000"/>
    <n v="127000"/>
    <n v="102000"/>
    <x v="0"/>
    <x v="0"/>
    <x v="0"/>
    <x v="0"/>
    <x v="0"/>
  </r>
  <r>
    <x v="233"/>
    <n v="3.9"/>
    <x v="125"/>
    <x v="177"/>
    <x v="31"/>
    <n v="96000"/>
    <n v="130000"/>
    <n v="113000"/>
    <x v="0"/>
    <x v="0"/>
    <x v="0"/>
    <x v="0"/>
    <x v="0"/>
  </r>
  <r>
    <x v="0"/>
    <n v="4"/>
    <x v="328"/>
    <x v="177"/>
    <x v="31"/>
    <n v="92000"/>
    <n v="128000"/>
    <n v="110000"/>
    <x v="1"/>
    <x v="1"/>
    <x v="0"/>
    <x v="0"/>
    <x v="0"/>
  </r>
  <r>
    <x v="234"/>
    <n v="3.8"/>
    <x v="373"/>
    <x v="177"/>
    <x v="31"/>
    <n v="80000"/>
    <n v="122000"/>
    <n v="101000"/>
    <x v="0"/>
    <x v="0"/>
    <x v="0"/>
    <x v="0"/>
    <x v="0"/>
  </r>
  <r>
    <x v="94"/>
    <n v="3.8"/>
    <x v="374"/>
    <x v="178"/>
    <x v="31"/>
    <n v="79000"/>
    <n v="115000"/>
    <n v="97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0"/>
    <n v="3.9"/>
    <x v="375"/>
    <x v="178"/>
    <x v="31"/>
    <n v="75000"/>
    <n v="175000"/>
    <n v="125000"/>
    <x v="0"/>
    <x v="0"/>
    <x v="0"/>
    <x v="0"/>
    <x v="0"/>
  </r>
  <r>
    <x v="235"/>
    <n v="4.0999999999999996"/>
    <x v="162"/>
    <x v="179"/>
    <x v="31"/>
    <n v="85000"/>
    <n v="115000"/>
    <n v="100000"/>
    <x v="0"/>
    <x v="0"/>
    <x v="0"/>
    <x v="0"/>
    <x v="0"/>
  </r>
  <r>
    <x v="236"/>
    <n v="4.0999999999999996"/>
    <x v="162"/>
    <x v="179"/>
    <x v="31"/>
    <n v="60320"/>
    <n v="104000"/>
    <n v="82160"/>
    <x v="0"/>
    <x v="0"/>
    <x v="0"/>
    <x v="0"/>
    <x v="0"/>
  </r>
  <r>
    <x v="0"/>
    <n v="3.4"/>
    <x v="376"/>
    <x v="180"/>
    <x v="31"/>
    <n v="82000"/>
    <n v="118000"/>
    <n v="100000"/>
    <x v="0"/>
    <x v="0"/>
    <x v="0"/>
    <x v="0"/>
    <x v="0"/>
  </r>
  <r>
    <x v="8"/>
    <n v="4.2"/>
    <x v="377"/>
    <x v="181"/>
    <x v="32"/>
    <n v="127000"/>
    <n v="168000"/>
    <n v="147500"/>
    <x v="0"/>
    <x v="0"/>
    <x v="0"/>
    <x v="0"/>
    <x v="0"/>
  </r>
  <r>
    <x v="237"/>
    <n v="3.8"/>
    <x v="378"/>
    <x v="124"/>
    <x v="32"/>
    <n v="146000"/>
    <n v="146000"/>
    <n v="146000"/>
    <x v="0"/>
    <x v="1"/>
    <x v="0"/>
    <x v="0"/>
    <x v="0"/>
  </r>
  <r>
    <x v="238"/>
    <n v="4.0999999999999996"/>
    <x v="310"/>
    <x v="182"/>
    <x v="33"/>
    <n v="69000"/>
    <n v="110000"/>
    <n v="895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3.8"/>
    <x v="379"/>
    <x v="183"/>
    <x v="33"/>
    <n v="91000"/>
    <n v="129000"/>
    <n v="110000"/>
    <x v="0"/>
    <x v="0"/>
    <x v="0"/>
    <x v="0"/>
    <x v="0"/>
  </r>
  <r>
    <x v="0"/>
    <n v="4.5"/>
    <x v="380"/>
    <x v="184"/>
    <x v="33"/>
    <n v="71000"/>
    <n v="103000"/>
    <n v="87000"/>
    <x v="0"/>
    <x v="0"/>
    <x v="0"/>
    <x v="0"/>
    <x v="0"/>
  </r>
  <r>
    <x v="239"/>
    <n v="3.9"/>
    <x v="381"/>
    <x v="185"/>
    <x v="33"/>
    <n v="70000"/>
    <n v="106000"/>
    <n v="88000"/>
    <x v="0"/>
    <x v="0"/>
    <x v="0"/>
    <x v="0"/>
    <x v="0"/>
  </r>
  <r>
    <x v="8"/>
    <n v="3.7"/>
    <x v="308"/>
    <x v="186"/>
    <x v="33"/>
    <n v="121000"/>
    <n v="158000"/>
    <n v="139500"/>
    <x v="0"/>
    <x v="0"/>
    <x v="0"/>
    <x v="0"/>
    <x v="0"/>
  </r>
  <r>
    <x v="35"/>
    <n v="3.8"/>
    <x v="382"/>
    <x v="186"/>
    <x v="33"/>
    <n v="101000"/>
    <n v="135000"/>
    <n v="118000"/>
    <x v="0"/>
    <x v="0"/>
    <x v="0"/>
    <x v="0"/>
    <x v="0"/>
  </r>
  <r>
    <x v="197"/>
    <n v="3.8"/>
    <x v="382"/>
    <x v="186"/>
    <x v="33"/>
    <n v="97000"/>
    <n v="127000"/>
    <n v="112000"/>
    <x v="0"/>
    <x v="0"/>
    <x v="0"/>
    <x v="0"/>
    <x v="0"/>
  </r>
  <r>
    <x v="0"/>
    <m/>
    <x v="383"/>
    <x v="186"/>
    <x v="33"/>
    <n v="83200"/>
    <n v="104000"/>
    <n v="93600"/>
    <x v="1"/>
    <x v="1"/>
    <x v="0"/>
    <x v="0"/>
    <x v="0"/>
  </r>
  <r>
    <x v="0"/>
    <m/>
    <x v="384"/>
    <x v="187"/>
    <x v="33"/>
    <n v="87000"/>
    <n v="122000"/>
    <n v="104500"/>
    <x v="0"/>
    <x v="0"/>
    <x v="0"/>
    <x v="0"/>
    <x v="0"/>
  </r>
  <r>
    <x v="0"/>
    <n v="4.4000000000000004"/>
    <x v="61"/>
    <x v="187"/>
    <x v="33"/>
    <n v="82000"/>
    <n v="140000"/>
    <n v="111000"/>
    <x v="0"/>
    <x v="0"/>
    <x v="0"/>
    <x v="0"/>
    <x v="0"/>
  </r>
  <r>
    <x v="0"/>
    <n v="4.4000000000000004"/>
    <x v="61"/>
    <x v="187"/>
    <x v="33"/>
    <n v="82000"/>
    <n v="140000"/>
    <n v="111000"/>
    <x v="0"/>
    <x v="0"/>
    <x v="0"/>
    <x v="0"/>
    <x v="0"/>
  </r>
  <r>
    <x v="0"/>
    <n v="4.4000000000000004"/>
    <x v="61"/>
    <x v="187"/>
    <x v="33"/>
    <n v="82000"/>
    <n v="140000"/>
    <n v="111000"/>
    <x v="0"/>
    <x v="0"/>
    <x v="0"/>
    <x v="0"/>
    <x v="0"/>
  </r>
  <r>
    <x v="0"/>
    <n v="4.4000000000000004"/>
    <x v="61"/>
    <x v="187"/>
    <x v="33"/>
    <n v="82000"/>
    <n v="140000"/>
    <n v="111000"/>
    <x v="0"/>
    <x v="0"/>
    <x v="0"/>
    <x v="0"/>
    <x v="0"/>
  </r>
  <r>
    <x v="0"/>
    <n v="4.4000000000000004"/>
    <x v="61"/>
    <x v="187"/>
    <x v="33"/>
    <n v="82000"/>
    <n v="140000"/>
    <n v="111000"/>
    <x v="0"/>
    <x v="0"/>
    <x v="0"/>
    <x v="0"/>
    <x v="0"/>
  </r>
  <r>
    <x v="0"/>
    <n v="4.4000000000000004"/>
    <x v="61"/>
    <x v="187"/>
    <x v="33"/>
    <n v="82000"/>
    <n v="140000"/>
    <n v="111000"/>
    <x v="0"/>
    <x v="0"/>
    <x v="0"/>
    <x v="0"/>
    <x v="0"/>
  </r>
  <r>
    <x v="44"/>
    <n v="3.2"/>
    <x v="385"/>
    <x v="187"/>
    <x v="33"/>
    <n v="79705.600000000006"/>
    <n v="134888"/>
    <n v="107296.8"/>
    <x v="0"/>
    <x v="0"/>
    <x v="0"/>
    <x v="0"/>
    <x v="0"/>
  </r>
  <r>
    <x v="240"/>
    <n v="3.9"/>
    <x v="386"/>
    <x v="187"/>
    <x v="33"/>
    <n v="44000"/>
    <n v="59000"/>
    <n v="51500"/>
    <x v="0"/>
    <x v="1"/>
    <x v="0"/>
    <x v="0"/>
    <x v="0"/>
  </r>
  <r>
    <x v="8"/>
    <n v="3.4"/>
    <x v="387"/>
    <x v="188"/>
    <x v="33"/>
    <n v="113000"/>
    <n v="148000"/>
    <n v="130500"/>
    <x v="0"/>
    <x v="0"/>
    <x v="0"/>
    <x v="0"/>
    <x v="0"/>
  </r>
  <r>
    <x v="241"/>
    <n v="3.9"/>
    <x v="388"/>
    <x v="189"/>
    <x v="34"/>
    <n v="250000"/>
    <n v="275000"/>
    <n v="262500"/>
    <x v="0"/>
    <x v="0"/>
    <x v="0"/>
    <x v="0"/>
    <x v="1"/>
  </r>
  <r>
    <x v="50"/>
    <n v="3.3"/>
    <x v="75"/>
    <x v="189"/>
    <x v="34"/>
    <n v="211000"/>
    <n v="262000"/>
    <n v="236500"/>
    <x v="0"/>
    <x v="0"/>
    <x v="0"/>
    <x v="0"/>
    <x v="1"/>
  </r>
  <r>
    <x v="242"/>
    <n v="4.7"/>
    <x v="389"/>
    <x v="189"/>
    <x v="34"/>
    <n v="183000"/>
    <n v="251000"/>
    <n v="217000"/>
    <x v="0"/>
    <x v="0"/>
    <x v="0"/>
    <x v="0"/>
    <x v="1"/>
  </r>
  <r>
    <x v="31"/>
    <n v="5"/>
    <x v="390"/>
    <x v="189"/>
    <x v="34"/>
    <n v="180000"/>
    <n v="230000"/>
    <n v="205000"/>
    <x v="0"/>
    <x v="0"/>
    <x v="0"/>
    <x v="0"/>
    <x v="1"/>
  </r>
  <r>
    <x v="243"/>
    <n v="4.7"/>
    <x v="389"/>
    <x v="189"/>
    <x v="34"/>
    <n v="156000"/>
    <n v="215000"/>
    <n v="185500"/>
    <x v="0"/>
    <x v="0"/>
    <x v="0"/>
    <x v="0"/>
    <x v="1"/>
  </r>
  <r>
    <x v="244"/>
    <n v="4.7"/>
    <x v="389"/>
    <x v="189"/>
    <x v="34"/>
    <n v="156000"/>
    <n v="215000"/>
    <n v="185500"/>
    <x v="0"/>
    <x v="0"/>
    <x v="0"/>
    <x v="0"/>
    <x v="1"/>
  </r>
  <r>
    <x v="244"/>
    <n v="4.7"/>
    <x v="389"/>
    <x v="189"/>
    <x v="34"/>
    <n v="156000"/>
    <n v="215000"/>
    <n v="185500"/>
    <x v="0"/>
    <x v="0"/>
    <x v="0"/>
    <x v="0"/>
    <x v="1"/>
  </r>
  <r>
    <x v="0"/>
    <m/>
    <x v="391"/>
    <x v="189"/>
    <x v="34"/>
    <n v="155000"/>
    <n v="166000"/>
    <n v="160500"/>
    <x v="0"/>
    <x v="0"/>
    <x v="0"/>
    <x v="0"/>
    <x v="1"/>
  </r>
  <r>
    <x v="171"/>
    <n v="3.7"/>
    <x v="392"/>
    <x v="189"/>
    <x v="34"/>
    <n v="146000"/>
    <n v="174000"/>
    <n v="160000"/>
    <x v="0"/>
    <x v="0"/>
    <x v="0"/>
    <x v="0"/>
    <x v="1"/>
  </r>
  <r>
    <x v="245"/>
    <n v="4.0999999999999996"/>
    <x v="350"/>
    <x v="189"/>
    <x v="34"/>
    <n v="145000"/>
    <n v="242000"/>
    <n v="193500"/>
    <x v="0"/>
    <x v="0"/>
    <x v="0"/>
    <x v="0"/>
    <x v="1"/>
  </r>
  <r>
    <x v="8"/>
    <n v="3.4"/>
    <x v="393"/>
    <x v="189"/>
    <x v="34"/>
    <n v="145000"/>
    <n v="190000"/>
    <n v="167500"/>
    <x v="0"/>
    <x v="0"/>
    <x v="0"/>
    <x v="0"/>
    <x v="1"/>
  </r>
  <r>
    <x v="22"/>
    <n v="2.8"/>
    <x v="394"/>
    <x v="189"/>
    <x v="34"/>
    <n v="140000"/>
    <n v="140000"/>
    <n v="140000"/>
    <x v="0"/>
    <x v="0"/>
    <x v="0"/>
    <x v="0"/>
    <x v="1"/>
  </r>
  <r>
    <x v="8"/>
    <n v="3.8"/>
    <x v="395"/>
    <x v="189"/>
    <x v="34"/>
    <n v="140000"/>
    <n v="206000"/>
    <n v="173000"/>
    <x v="0"/>
    <x v="0"/>
    <x v="0"/>
    <x v="0"/>
    <x v="1"/>
  </r>
  <r>
    <x v="0"/>
    <n v="4.3"/>
    <x v="396"/>
    <x v="189"/>
    <x v="34"/>
    <n v="140000"/>
    <n v="180000"/>
    <n v="160000"/>
    <x v="0"/>
    <x v="1"/>
    <x v="0"/>
    <x v="0"/>
    <x v="1"/>
  </r>
  <r>
    <x v="246"/>
    <m/>
    <x v="397"/>
    <x v="189"/>
    <x v="34"/>
    <n v="135200"/>
    <n v="156000"/>
    <n v="145600"/>
    <x v="0"/>
    <x v="0"/>
    <x v="0"/>
    <x v="0"/>
    <x v="1"/>
  </r>
  <r>
    <x v="247"/>
    <n v="4.4000000000000004"/>
    <x v="398"/>
    <x v="189"/>
    <x v="34"/>
    <n v="132000"/>
    <n v="132000"/>
    <n v="132000"/>
    <x v="0"/>
    <x v="0"/>
    <x v="0"/>
    <x v="0"/>
    <x v="1"/>
  </r>
  <r>
    <x v="248"/>
    <m/>
    <x v="399"/>
    <x v="189"/>
    <x v="34"/>
    <n v="130000"/>
    <n v="160000"/>
    <n v="145000"/>
    <x v="0"/>
    <x v="0"/>
    <x v="0"/>
    <x v="0"/>
    <x v="1"/>
  </r>
  <r>
    <x v="0"/>
    <m/>
    <x v="400"/>
    <x v="189"/>
    <x v="34"/>
    <n v="130000"/>
    <n v="150000"/>
    <n v="140000"/>
    <x v="0"/>
    <x v="0"/>
    <x v="0"/>
    <x v="0"/>
    <x v="1"/>
  </r>
  <r>
    <x v="249"/>
    <n v="3.7"/>
    <x v="401"/>
    <x v="189"/>
    <x v="34"/>
    <n v="130000"/>
    <n v="155000"/>
    <n v="142500"/>
    <x v="0"/>
    <x v="0"/>
    <x v="0"/>
    <x v="0"/>
    <x v="1"/>
  </r>
  <r>
    <x v="0"/>
    <m/>
    <x v="402"/>
    <x v="189"/>
    <x v="34"/>
    <n v="124800"/>
    <n v="145600"/>
    <n v="135200"/>
    <x v="0"/>
    <x v="0"/>
    <x v="0"/>
    <x v="0"/>
    <x v="1"/>
  </r>
  <r>
    <x v="35"/>
    <n v="3.8"/>
    <x v="403"/>
    <x v="189"/>
    <x v="34"/>
    <n v="123000"/>
    <n v="164000"/>
    <n v="143500"/>
    <x v="0"/>
    <x v="0"/>
    <x v="0"/>
    <x v="0"/>
    <x v="1"/>
  </r>
  <r>
    <x v="250"/>
    <n v="4.4000000000000004"/>
    <x v="404"/>
    <x v="189"/>
    <x v="34"/>
    <n v="122000"/>
    <n v="204000"/>
    <n v="163000"/>
    <x v="0"/>
    <x v="0"/>
    <x v="0"/>
    <x v="0"/>
    <x v="1"/>
  </r>
  <r>
    <x v="251"/>
    <n v="4.4000000000000004"/>
    <x v="405"/>
    <x v="189"/>
    <x v="34"/>
    <n v="122000"/>
    <n v="171000"/>
    <n v="146500"/>
    <x v="0"/>
    <x v="0"/>
    <x v="0"/>
    <x v="0"/>
    <x v="1"/>
  </r>
  <r>
    <x v="252"/>
    <n v="4.0999999999999996"/>
    <x v="350"/>
    <x v="189"/>
    <x v="34"/>
    <n v="114000"/>
    <n v="190000"/>
    <n v="152000"/>
    <x v="0"/>
    <x v="0"/>
    <x v="0"/>
    <x v="0"/>
    <x v="1"/>
  </r>
  <r>
    <x v="0"/>
    <m/>
    <x v="406"/>
    <x v="189"/>
    <x v="34"/>
    <n v="112000"/>
    <n v="135000"/>
    <n v="123500"/>
    <x v="0"/>
    <x v="1"/>
    <x v="0"/>
    <x v="0"/>
    <x v="1"/>
  </r>
  <r>
    <x v="0"/>
    <m/>
    <x v="407"/>
    <x v="189"/>
    <x v="34"/>
    <n v="111529.60000000001"/>
    <n v="134326.39999999999"/>
    <n v="122928"/>
    <x v="1"/>
    <x v="1"/>
    <x v="0"/>
    <x v="0"/>
    <x v="1"/>
  </r>
  <r>
    <x v="0"/>
    <n v="3.5"/>
    <x v="408"/>
    <x v="189"/>
    <x v="34"/>
    <n v="110000"/>
    <n v="110000"/>
    <n v="110000"/>
    <x v="1"/>
    <x v="1"/>
    <x v="0"/>
    <x v="0"/>
    <x v="1"/>
  </r>
  <r>
    <x v="0"/>
    <m/>
    <x v="409"/>
    <x v="189"/>
    <x v="34"/>
    <n v="110000"/>
    <n v="113000"/>
    <n v="111500"/>
    <x v="0"/>
    <x v="1"/>
    <x v="0"/>
    <x v="0"/>
    <x v="1"/>
  </r>
  <r>
    <x v="119"/>
    <n v="3.8"/>
    <x v="410"/>
    <x v="189"/>
    <x v="34"/>
    <n v="110000"/>
    <n v="176000"/>
    <n v="143000"/>
    <x v="0"/>
    <x v="0"/>
    <x v="0"/>
    <x v="0"/>
    <x v="1"/>
  </r>
  <r>
    <x v="253"/>
    <n v="4.4000000000000004"/>
    <x v="411"/>
    <x v="189"/>
    <x v="34"/>
    <n v="110000"/>
    <n v="170000"/>
    <n v="140000"/>
    <x v="0"/>
    <x v="0"/>
    <x v="0"/>
    <x v="0"/>
    <x v="1"/>
  </r>
  <r>
    <x v="122"/>
    <n v="3.4"/>
    <x v="216"/>
    <x v="189"/>
    <x v="34"/>
    <n v="107000"/>
    <n v="107000"/>
    <n v="107000"/>
    <x v="0"/>
    <x v="0"/>
    <x v="0"/>
    <x v="0"/>
    <x v="1"/>
  </r>
  <r>
    <x v="254"/>
    <n v="3.7"/>
    <x v="412"/>
    <x v="189"/>
    <x v="34"/>
    <n v="106080"/>
    <n v="108160"/>
    <n v="107120"/>
    <x v="0"/>
    <x v="0"/>
    <x v="0"/>
    <x v="0"/>
    <x v="1"/>
  </r>
  <r>
    <x v="255"/>
    <n v="3.7"/>
    <x v="412"/>
    <x v="189"/>
    <x v="34"/>
    <n v="106080"/>
    <n v="108160"/>
    <n v="107120"/>
    <x v="0"/>
    <x v="0"/>
    <x v="0"/>
    <x v="0"/>
    <x v="1"/>
  </r>
  <r>
    <x v="0"/>
    <n v="2.9"/>
    <x v="413"/>
    <x v="189"/>
    <x v="34"/>
    <n v="106000"/>
    <n v="130000"/>
    <n v="118000"/>
    <x v="0"/>
    <x v="0"/>
    <x v="0"/>
    <x v="0"/>
    <x v="1"/>
  </r>
  <r>
    <x v="256"/>
    <n v="4.3"/>
    <x v="414"/>
    <x v="189"/>
    <x v="34"/>
    <n v="105000"/>
    <n v="195000"/>
    <n v="150000"/>
    <x v="0"/>
    <x v="0"/>
    <x v="0"/>
    <x v="0"/>
    <x v="1"/>
  </r>
  <r>
    <x v="0"/>
    <n v="3.4"/>
    <x v="415"/>
    <x v="189"/>
    <x v="34"/>
    <n v="104000"/>
    <n v="135200"/>
    <n v="119600"/>
    <x v="0"/>
    <x v="1"/>
    <x v="0"/>
    <x v="0"/>
    <x v="1"/>
  </r>
  <r>
    <x v="197"/>
    <n v="3.6"/>
    <x v="416"/>
    <x v="189"/>
    <x v="34"/>
    <n v="102000"/>
    <n v="152000"/>
    <n v="127000"/>
    <x v="0"/>
    <x v="0"/>
    <x v="0"/>
    <x v="0"/>
    <x v="1"/>
  </r>
  <r>
    <x v="0"/>
    <m/>
    <x v="417"/>
    <x v="189"/>
    <x v="34"/>
    <n v="100000"/>
    <n v="130000"/>
    <n v="115000"/>
    <x v="0"/>
    <x v="0"/>
    <x v="0"/>
    <x v="0"/>
    <x v="1"/>
  </r>
  <r>
    <x v="257"/>
    <m/>
    <x v="418"/>
    <x v="189"/>
    <x v="34"/>
    <n v="100000"/>
    <n v="100000"/>
    <n v="100000"/>
    <x v="0"/>
    <x v="0"/>
    <x v="0"/>
    <x v="0"/>
    <x v="1"/>
  </r>
  <r>
    <x v="258"/>
    <n v="4.0999999999999996"/>
    <x v="419"/>
    <x v="189"/>
    <x v="34"/>
    <n v="100000"/>
    <n v="120000"/>
    <n v="110000"/>
    <x v="0"/>
    <x v="0"/>
    <x v="0"/>
    <x v="0"/>
    <x v="1"/>
  </r>
  <r>
    <x v="259"/>
    <n v="3.8"/>
    <x v="420"/>
    <x v="189"/>
    <x v="34"/>
    <n v="100000"/>
    <n v="100000"/>
    <n v="100000"/>
    <x v="0"/>
    <x v="0"/>
    <x v="0"/>
    <x v="0"/>
    <x v="1"/>
  </r>
  <r>
    <x v="260"/>
    <n v="3"/>
    <x v="96"/>
    <x v="189"/>
    <x v="34"/>
    <n v="100000"/>
    <n v="120000"/>
    <n v="110000"/>
    <x v="0"/>
    <x v="0"/>
    <x v="0"/>
    <x v="0"/>
    <x v="1"/>
  </r>
  <r>
    <x v="261"/>
    <n v="3.3"/>
    <x v="421"/>
    <x v="189"/>
    <x v="34"/>
    <n v="100000"/>
    <n v="120000"/>
    <n v="110000"/>
    <x v="0"/>
    <x v="1"/>
    <x v="0"/>
    <x v="0"/>
    <x v="1"/>
  </r>
  <r>
    <x v="0"/>
    <n v="3.4"/>
    <x v="216"/>
    <x v="189"/>
    <x v="34"/>
    <n v="85000"/>
    <n v="85000"/>
    <n v="85000"/>
    <x v="0"/>
    <x v="0"/>
    <x v="0"/>
    <x v="0"/>
    <x v="1"/>
  </r>
  <r>
    <x v="262"/>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7"/>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263"/>
    <n v="3.9"/>
    <x v="276"/>
    <x v="189"/>
    <x v="34"/>
    <n v="82000"/>
    <n v="143000"/>
    <n v="112500"/>
    <x v="0"/>
    <x v="0"/>
    <x v="0"/>
    <x v="0"/>
    <x v="1"/>
  </r>
  <r>
    <x v="0"/>
    <n v="4.3"/>
    <x v="422"/>
    <x v="189"/>
    <x v="34"/>
    <n v="81000"/>
    <n v="176000"/>
    <n v="128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264"/>
    <n v="3"/>
    <x v="423"/>
    <x v="189"/>
    <x v="34"/>
    <n v="79000"/>
    <n v="120000"/>
    <n v="99500"/>
    <x v="0"/>
    <x v="0"/>
    <x v="0"/>
    <x v="0"/>
    <x v="1"/>
  </r>
  <r>
    <x v="0"/>
    <n v="3.5"/>
    <x v="424"/>
    <x v="189"/>
    <x v="34"/>
    <n v="78000"/>
    <n v="90000"/>
    <n v="84000"/>
    <x v="0"/>
    <x v="0"/>
    <x v="0"/>
    <x v="0"/>
    <x v="1"/>
  </r>
  <r>
    <x v="0"/>
    <n v="4.3"/>
    <x v="425"/>
    <x v="189"/>
    <x v="34"/>
    <n v="75000"/>
    <n v="85000"/>
    <n v="80000"/>
    <x v="0"/>
    <x v="0"/>
    <x v="0"/>
    <x v="0"/>
    <x v="1"/>
  </r>
  <r>
    <x v="265"/>
    <n v="4.4000000000000004"/>
    <x v="426"/>
    <x v="189"/>
    <x v="34"/>
    <n v="70000"/>
    <n v="125000"/>
    <n v="97500"/>
    <x v="0"/>
    <x v="0"/>
    <x v="0"/>
    <x v="0"/>
    <x v="1"/>
  </r>
  <r>
    <x v="259"/>
    <n v="3.5"/>
    <x v="427"/>
    <x v="189"/>
    <x v="34"/>
    <n v="68000"/>
    <n v="191000"/>
    <n v="129500"/>
    <x v="0"/>
    <x v="0"/>
    <x v="0"/>
    <x v="0"/>
    <x v="1"/>
  </r>
  <r>
    <x v="0"/>
    <n v="2.9"/>
    <x v="428"/>
    <x v="189"/>
    <x v="34"/>
    <n v="61000"/>
    <n v="106000"/>
    <n v="83500"/>
    <x v="0"/>
    <x v="0"/>
    <x v="0"/>
    <x v="0"/>
    <x v="1"/>
  </r>
  <r>
    <x v="266"/>
    <n v="4"/>
    <x v="429"/>
    <x v="189"/>
    <x v="34"/>
    <n v="61000"/>
    <n v="110000"/>
    <n v="85500"/>
    <x v="0"/>
    <x v="0"/>
    <x v="0"/>
    <x v="0"/>
    <x v="1"/>
  </r>
  <r>
    <x v="0"/>
    <m/>
    <x v="430"/>
    <x v="189"/>
    <x v="34"/>
    <n v="60000"/>
    <n v="140000"/>
    <n v="100000"/>
    <x v="1"/>
    <x v="1"/>
    <x v="0"/>
    <x v="0"/>
    <x v="1"/>
  </r>
  <r>
    <x v="94"/>
    <n v="4"/>
    <x v="431"/>
    <x v="189"/>
    <x v="34"/>
    <n v="60000"/>
    <n v="64000"/>
    <n v="62000"/>
    <x v="0"/>
    <x v="0"/>
    <x v="0"/>
    <x v="0"/>
    <x v="1"/>
  </r>
  <r>
    <x v="267"/>
    <n v="4.0999999999999996"/>
    <x v="432"/>
    <x v="189"/>
    <x v="34"/>
    <n v="52000"/>
    <n v="79040"/>
    <n v="65520"/>
    <x v="0"/>
    <x v="0"/>
    <x v="0"/>
    <x v="0"/>
    <x v="1"/>
  </r>
  <r>
    <x v="268"/>
    <n v="4.0999999999999996"/>
    <x v="433"/>
    <x v="189"/>
    <x v="34"/>
    <n v="30000"/>
    <n v="35000"/>
    <n v="32500"/>
    <x v="0"/>
    <x v="0"/>
    <x v="0"/>
    <x v="0"/>
    <x v="1"/>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3"/>
    <m/>
    <x v="434"/>
    <x v="190"/>
    <x v="35"/>
    <n v="124800"/>
    <n v="124800"/>
    <n v="124800"/>
    <x v="1"/>
    <x v="1"/>
    <x v="0"/>
    <x v="0"/>
    <x v="0"/>
  </r>
  <r>
    <x v="8"/>
    <n v="4.3"/>
    <x v="435"/>
    <x v="190"/>
    <x v="35"/>
    <n v="122000"/>
    <n v="158000"/>
    <n v="140000"/>
    <x v="0"/>
    <x v="0"/>
    <x v="0"/>
    <x v="0"/>
    <x v="0"/>
  </r>
  <r>
    <x v="94"/>
    <n v="3.9"/>
    <x v="436"/>
    <x v="191"/>
    <x v="36"/>
    <n v="70000"/>
    <n v="104000"/>
    <n v="87000"/>
    <x v="0"/>
    <x v="0"/>
    <x v="0"/>
    <x v="0"/>
    <x v="0"/>
  </r>
  <r>
    <x v="269"/>
    <n v="4.3"/>
    <x v="437"/>
    <x v="192"/>
    <x v="37"/>
    <n v="250000"/>
    <n v="300000"/>
    <n v="275000"/>
    <x v="0"/>
    <x v="0"/>
    <x v="0"/>
    <x v="0"/>
    <x v="0"/>
  </r>
  <r>
    <x v="270"/>
    <n v="4"/>
    <x v="438"/>
    <x v="192"/>
    <x v="37"/>
    <n v="136000"/>
    <n v="219000"/>
    <n v="177500"/>
    <x v="0"/>
    <x v="0"/>
    <x v="0"/>
    <x v="0"/>
    <x v="0"/>
  </r>
  <r>
    <x v="22"/>
    <n v="4.0999999999999996"/>
    <x v="151"/>
    <x v="192"/>
    <x v="37"/>
    <n v="129000"/>
    <n v="169000"/>
    <n v="149000"/>
    <x v="0"/>
    <x v="0"/>
    <x v="0"/>
    <x v="0"/>
    <x v="0"/>
  </r>
  <r>
    <x v="271"/>
    <n v="3.8"/>
    <x v="378"/>
    <x v="192"/>
    <x v="37"/>
    <n v="127000"/>
    <n v="127000"/>
    <n v="127000"/>
    <x v="1"/>
    <x v="1"/>
    <x v="0"/>
    <x v="0"/>
    <x v="0"/>
  </r>
  <r>
    <x v="8"/>
    <n v="3.6"/>
    <x v="439"/>
    <x v="192"/>
    <x v="37"/>
    <n v="124000"/>
    <n v="169000"/>
    <n v="146500"/>
    <x v="0"/>
    <x v="0"/>
    <x v="0"/>
    <x v="0"/>
    <x v="0"/>
  </r>
  <r>
    <x v="0"/>
    <n v="4.0999999999999996"/>
    <x v="13"/>
    <x v="192"/>
    <x v="37"/>
    <n v="119000"/>
    <n v="179000"/>
    <n v="149000"/>
    <x v="0"/>
    <x v="0"/>
    <x v="0"/>
    <x v="0"/>
    <x v="0"/>
  </r>
  <r>
    <x v="272"/>
    <n v="3.6"/>
    <x v="30"/>
    <x v="192"/>
    <x v="37"/>
    <n v="119000"/>
    <n v="169000"/>
    <n v="144000"/>
    <x v="0"/>
    <x v="0"/>
    <x v="0"/>
    <x v="0"/>
    <x v="0"/>
  </r>
  <r>
    <x v="0"/>
    <n v="4.0999999999999996"/>
    <x v="13"/>
    <x v="192"/>
    <x v="37"/>
    <n v="119000"/>
    <n v="179000"/>
    <n v="149000"/>
    <x v="0"/>
    <x v="0"/>
    <x v="0"/>
    <x v="0"/>
    <x v="0"/>
  </r>
  <r>
    <x v="273"/>
    <n v="3.6"/>
    <x v="439"/>
    <x v="192"/>
    <x v="37"/>
    <n v="94000"/>
    <n v="156000"/>
    <n v="125000"/>
    <x v="0"/>
    <x v="0"/>
    <x v="0"/>
    <x v="0"/>
    <x v="0"/>
  </r>
  <r>
    <x v="0"/>
    <n v="3.7"/>
    <x v="440"/>
    <x v="192"/>
    <x v="37"/>
    <n v="90000"/>
    <n v="126000"/>
    <n v="108000"/>
    <x v="0"/>
    <x v="0"/>
    <x v="0"/>
    <x v="0"/>
    <x v="0"/>
  </r>
  <r>
    <x v="0"/>
    <n v="4.9000000000000004"/>
    <x v="441"/>
    <x v="192"/>
    <x v="37"/>
    <n v="88000"/>
    <n v="132000"/>
    <n v="110000"/>
    <x v="0"/>
    <x v="0"/>
    <x v="0"/>
    <x v="0"/>
    <x v="0"/>
  </r>
  <r>
    <x v="0"/>
    <n v="4.5"/>
    <x v="442"/>
    <x v="192"/>
    <x v="37"/>
    <n v="88000"/>
    <n v="126000"/>
    <n v="107000"/>
    <x v="0"/>
    <x v="0"/>
    <x v="0"/>
    <x v="0"/>
    <x v="0"/>
  </r>
  <r>
    <x v="209"/>
    <n v="4.3"/>
    <x v="443"/>
    <x v="192"/>
    <x v="37"/>
    <n v="87000"/>
    <n v="131000"/>
    <n v="109000"/>
    <x v="0"/>
    <x v="0"/>
    <x v="0"/>
    <x v="0"/>
    <x v="0"/>
  </r>
  <r>
    <x v="274"/>
    <n v="3.9"/>
    <x v="444"/>
    <x v="192"/>
    <x v="37"/>
    <n v="80000"/>
    <n v="100000"/>
    <n v="90000"/>
    <x v="0"/>
    <x v="1"/>
    <x v="0"/>
    <x v="0"/>
    <x v="0"/>
  </r>
  <r>
    <x v="184"/>
    <n v="3.5"/>
    <x v="445"/>
    <x v="192"/>
    <x v="37"/>
    <n v="75000"/>
    <n v="113000"/>
    <n v="94000"/>
    <x v="0"/>
    <x v="0"/>
    <x v="0"/>
    <x v="0"/>
    <x v="0"/>
  </r>
  <r>
    <x v="184"/>
    <n v="3.5"/>
    <x v="446"/>
    <x v="192"/>
    <x v="37"/>
    <n v="75000"/>
    <n v="113000"/>
    <n v="94000"/>
    <x v="0"/>
    <x v="0"/>
    <x v="0"/>
    <x v="0"/>
    <x v="0"/>
  </r>
  <r>
    <x v="275"/>
    <n v="4.2"/>
    <x v="447"/>
    <x v="192"/>
    <x v="37"/>
    <n v="74000"/>
    <n v="125000"/>
    <n v="99500"/>
    <x v="0"/>
    <x v="0"/>
    <x v="0"/>
    <x v="0"/>
    <x v="0"/>
  </r>
  <r>
    <x v="276"/>
    <n v="4.3"/>
    <x v="437"/>
    <x v="192"/>
    <x v="37"/>
    <n v="64480"/>
    <n v="76960"/>
    <n v="70720"/>
    <x v="0"/>
    <x v="0"/>
    <x v="0"/>
    <x v="0"/>
    <x v="0"/>
  </r>
  <r>
    <x v="0"/>
    <n v="5"/>
    <x v="448"/>
    <x v="193"/>
    <x v="37"/>
    <n v="86000"/>
    <n v="130000"/>
    <n v="108000"/>
    <x v="0"/>
    <x v="0"/>
    <x v="0"/>
    <x v="0"/>
    <x v="0"/>
  </r>
  <r>
    <x v="8"/>
    <n v="3.6"/>
    <x v="449"/>
    <x v="194"/>
    <x v="37"/>
    <n v="141000"/>
    <n v="254000"/>
    <n v="197500"/>
    <x v="0"/>
    <x v="0"/>
    <x v="0"/>
    <x v="0"/>
    <x v="0"/>
  </r>
  <r>
    <x v="8"/>
    <n v="2.2999999999999998"/>
    <x v="450"/>
    <x v="194"/>
    <x v="37"/>
    <n v="124800"/>
    <n v="124800"/>
    <n v="124800"/>
    <x v="0"/>
    <x v="0"/>
    <x v="0"/>
    <x v="0"/>
    <x v="0"/>
  </r>
  <r>
    <x v="6"/>
    <n v="4.2"/>
    <x v="451"/>
    <x v="194"/>
    <x v="37"/>
    <n v="105000"/>
    <n v="148000"/>
    <n v="126500"/>
    <x v="1"/>
    <x v="1"/>
    <x v="1"/>
    <x v="1"/>
    <x v="0"/>
  </r>
  <r>
    <x v="35"/>
    <n v="3"/>
    <x v="452"/>
    <x v="194"/>
    <x v="37"/>
    <n v="100000"/>
    <n v="150000"/>
    <n v="125000"/>
    <x v="0"/>
    <x v="0"/>
    <x v="0"/>
    <x v="0"/>
    <x v="0"/>
  </r>
  <r>
    <x v="277"/>
    <n v="4.0999999999999996"/>
    <x v="453"/>
    <x v="194"/>
    <x v="37"/>
    <n v="99000"/>
    <n v="133000"/>
    <n v="116000"/>
    <x v="0"/>
    <x v="0"/>
    <x v="0"/>
    <x v="0"/>
    <x v="0"/>
  </r>
  <r>
    <x v="0"/>
    <n v="4"/>
    <x v="454"/>
    <x v="194"/>
    <x v="37"/>
    <n v="93000"/>
    <n v="132000"/>
    <n v="112500"/>
    <x v="0"/>
    <x v="0"/>
    <x v="0"/>
    <x v="0"/>
    <x v="0"/>
  </r>
  <r>
    <x v="0"/>
    <n v="4"/>
    <x v="455"/>
    <x v="194"/>
    <x v="37"/>
    <n v="90000"/>
    <n v="129000"/>
    <n v="109500"/>
    <x v="1"/>
    <x v="1"/>
    <x v="0"/>
    <x v="0"/>
    <x v="0"/>
  </r>
  <r>
    <x v="278"/>
    <n v="3.9"/>
    <x v="456"/>
    <x v="194"/>
    <x v="37"/>
    <n v="83000"/>
    <n v="83000"/>
    <n v="83000"/>
    <x v="0"/>
    <x v="0"/>
    <x v="0"/>
    <x v="0"/>
    <x v="0"/>
  </r>
  <r>
    <x v="279"/>
    <n v="3.9"/>
    <x v="457"/>
    <x v="194"/>
    <x v="37"/>
    <n v="81000"/>
    <n v="112000"/>
    <n v="96500"/>
    <x v="0"/>
    <x v="1"/>
    <x v="0"/>
    <x v="0"/>
    <x v="0"/>
  </r>
  <r>
    <x v="280"/>
    <n v="3.7"/>
    <x v="186"/>
    <x v="195"/>
    <x v="37"/>
    <n v="115000"/>
    <n v="167000"/>
    <n v="141000"/>
    <x v="0"/>
    <x v="0"/>
    <x v="0"/>
    <x v="0"/>
    <x v="0"/>
  </r>
  <r>
    <x v="281"/>
    <n v="3.8"/>
    <x v="163"/>
    <x v="195"/>
    <x v="37"/>
    <n v="104000"/>
    <n v="153000"/>
    <n v="128500"/>
    <x v="0"/>
    <x v="0"/>
    <x v="0"/>
    <x v="0"/>
    <x v="0"/>
  </r>
  <r>
    <x v="3"/>
    <n v="4.2"/>
    <x v="458"/>
    <x v="195"/>
    <x v="37"/>
    <n v="101000"/>
    <n v="142000"/>
    <n v="121500"/>
    <x v="0"/>
    <x v="0"/>
    <x v="0"/>
    <x v="0"/>
    <x v="0"/>
  </r>
  <r>
    <x v="0"/>
    <n v="5"/>
    <x v="459"/>
    <x v="195"/>
    <x v="37"/>
    <n v="80000"/>
    <n v="122000"/>
    <n v="101000"/>
    <x v="1"/>
    <x v="0"/>
    <x v="0"/>
    <x v="0"/>
    <x v="0"/>
  </r>
  <r>
    <x v="282"/>
    <n v="3.3"/>
    <x v="460"/>
    <x v="195"/>
    <x v="37"/>
    <n v="80000"/>
    <n v="125000"/>
    <n v="102500"/>
    <x v="0"/>
    <x v="1"/>
    <x v="0"/>
    <x v="0"/>
    <x v="0"/>
  </r>
  <r>
    <x v="0"/>
    <n v="3.1"/>
    <x v="461"/>
    <x v="196"/>
    <x v="37"/>
    <n v="140000"/>
    <n v="160000"/>
    <n v="150000"/>
    <x v="0"/>
    <x v="0"/>
    <x v="0"/>
    <x v="0"/>
    <x v="0"/>
  </r>
  <r>
    <x v="31"/>
    <n v="3.2"/>
    <x v="462"/>
    <x v="196"/>
    <x v="37"/>
    <n v="124000"/>
    <n v="167000"/>
    <n v="145500"/>
    <x v="1"/>
    <x v="1"/>
    <x v="0"/>
    <x v="0"/>
    <x v="0"/>
  </r>
  <r>
    <x v="283"/>
    <n v="4.0999999999999996"/>
    <x v="463"/>
    <x v="197"/>
    <x v="37"/>
    <n v="64000"/>
    <n v="103000"/>
    <n v="83500"/>
    <x v="0"/>
    <x v="0"/>
    <x v="0"/>
    <x v="0"/>
    <x v="0"/>
  </r>
  <r>
    <x v="284"/>
    <n v="4"/>
    <x v="328"/>
    <x v="198"/>
    <x v="37"/>
    <n v="145000"/>
    <n v="210000"/>
    <n v="177500"/>
    <x v="0"/>
    <x v="0"/>
    <x v="0"/>
    <x v="0"/>
    <x v="0"/>
  </r>
  <r>
    <x v="3"/>
    <m/>
    <x v="464"/>
    <x v="198"/>
    <x v="37"/>
    <n v="100000"/>
    <n v="100000"/>
    <n v="100000"/>
    <x v="0"/>
    <x v="0"/>
    <x v="0"/>
    <x v="0"/>
    <x v="0"/>
  </r>
  <r>
    <x v="0"/>
    <m/>
    <x v="465"/>
    <x v="198"/>
    <x v="37"/>
    <n v="89000"/>
    <n v="128000"/>
    <n v="108500"/>
    <x v="1"/>
    <x v="1"/>
    <x v="0"/>
    <x v="0"/>
    <x v="0"/>
  </r>
  <r>
    <x v="285"/>
    <n v="3.8"/>
    <x v="466"/>
    <x v="198"/>
    <x v="37"/>
    <n v="88000"/>
    <n v="133000"/>
    <n v="110500"/>
    <x v="0"/>
    <x v="0"/>
    <x v="0"/>
    <x v="0"/>
    <x v="0"/>
  </r>
  <r>
    <x v="171"/>
    <n v="4.2"/>
    <x v="467"/>
    <x v="199"/>
    <x v="37"/>
    <n v="116000"/>
    <n v="150000"/>
    <n v="133000"/>
    <x v="0"/>
    <x v="0"/>
    <x v="0"/>
    <x v="0"/>
    <x v="0"/>
  </r>
  <r>
    <x v="8"/>
    <n v="3.7"/>
    <x v="468"/>
    <x v="199"/>
    <x v="37"/>
    <n v="105000"/>
    <n v="120000"/>
    <n v="112500"/>
    <x v="0"/>
    <x v="1"/>
    <x v="0"/>
    <x v="0"/>
    <x v="0"/>
  </r>
  <r>
    <x v="0"/>
    <n v="4"/>
    <x v="469"/>
    <x v="199"/>
    <x v="37"/>
    <n v="83000"/>
    <n v="123000"/>
    <n v="103000"/>
    <x v="0"/>
    <x v="0"/>
    <x v="0"/>
    <x v="0"/>
    <x v="0"/>
  </r>
  <r>
    <x v="0"/>
    <n v="3.9"/>
    <x v="470"/>
    <x v="199"/>
    <x v="37"/>
    <n v="81000"/>
    <n v="120000"/>
    <n v="100500"/>
    <x v="0"/>
    <x v="0"/>
    <x v="0"/>
    <x v="0"/>
    <x v="0"/>
  </r>
  <r>
    <x v="0"/>
    <n v="3"/>
    <x v="471"/>
    <x v="200"/>
    <x v="37"/>
    <n v="80000"/>
    <n v="122000"/>
    <n v="101000"/>
    <x v="0"/>
    <x v="0"/>
    <x v="0"/>
    <x v="0"/>
    <x v="0"/>
  </r>
  <r>
    <x v="190"/>
    <n v="4.2"/>
    <x v="472"/>
    <x v="201"/>
    <x v="37"/>
    <n v="84000"/>
    <n v="127000"/>
    <n v="105500"/>
    <x v="0"/>
    <x v="0"/>
    <x v="0"/>
    <x v="0"/>
    <x v="0"/>
  </r>
  <r>
    <x v="190"/>
    <n v="4.2"/>
    <x v="472"/>
    <x v="201"/>
    <x v="37"/>
    <n v="84000"/>
    <n v="127000"/>
    <n v="105500"/>
    <x v="0"/>
    <x v="0"/>
    <x v="0"/>
    <x v="0"/>
    <x v="0"/>
  </r>
  <r>
    <x v="190"/>
    <n v="4.2"/>
    <x v="472"/>
    <x v="201"/>
    <x v="37"/>
    <n v="76000"/>
    <n v="115000"/>
    <n v="95500"/>
    <x v="0"/>
    <x v="0"/>
    <x v="0"/>
    <x v="0"/>
    <x v="0"/>
  </r>
  <r>
    <x v="286"/>
    <n v="3.9"/>
    <x v="473"/>
    <x v="202"/>
    <x v="37"/>
    <n v="48000"/>
    <n v="78000"/>
    <n v="63000"/>
    <x v="0"/>
    <x v="0"/>
    <x v="0"/>
    <x v="0"/>
    <x v="0"/>
  </r>
  <r>
    <x v="22"/>
    <n v="4.3"/>
    <x v="435"/>
    <x v="203"/>
    <x v="37"/>
    <n v="130000"/>
    <n v="218000"/>
    <n v="174000"/>
    <x v="0"/>
    <x v="0"/>
    <x v="0"/>
    <x v="0"/>
    <x v="0"/>
  </r>
  <r>
    <x v="0"/>
    <n v="3.6"/>
    <x v="474"/>
    <x v="204"/>
    <x v="38"/>
    <n v="59000"/>
    <n v="93000"/>
    <n v="76000"/>
    <x v="0"/>
    <x v="0"/>
    <x v="0"/>
    <x v="0"/>
    <x v="0"/>
  </r>
  <r>
    <x v="287"/>
    <n v="3.7"/>
    <x v="475"/>
    <x v="205"/>
    <x v="38"/>
    <n v="178000"/>
    <n v="178000"/>
    <n v="178000"/>
    <x v="0"/>
    <x v="0"/>
    <x v="0"/>
    <x v="0"/>
    <x v="0"/>
  </r>
  <r>
    <x v="0"/>
    <n v="3.3"/>
    <x v="476"/>
    <x v="206"/>
    <x v="38"/>
    <n v="83000"/>
    <n v="95000"/>
    <n v="89000"/>
    <x v="0"/>
    <x v="0"/>
    <x v="0"/>
    <x v="0"/>
    <x v="0"/>
  </r>
  <r>
    <x v="288"/>
    <n v="4.4000000000000004"/>
    <x v="477"/>
    <x v="47"/>
    <x v="38"/>
    <n v="197000"/>
    <n v="244000"/>
    <n v="220500"/>
    <x v="0"/>
    <x v="0"/>
    <x v="0"/>
    <x v="0"/>
    <x v="0"/>
  </r>
  <r>
    <x v="289"/>
    <n v="2.9"/>
    <x v="478"/>
    <x v="47"/>
    <x v="38"/>
    <n v="173000"/>
    <n v="290000"/>
    <n v="231500"/>
    <x v="0"/>
    <x v="0"/>
    <x v="0"/>
    <x v="0"/>
    <x v="0"/>
  </r>
  <r>
    <x v="22"/>
    <n v="4.0999999999999996"/>
    <x v="479"/>
    <x v="47"/>
    <x v="38"/>
    <n v="144000"/>
    <n v="180000"/>
    <n v="162000"/>
    <x v="0"/>
    <x v="1"/>
    <x v="0"/>
    <x v="0"/>
    <x v="0"/>
  </r>
  <r>
    <x v="8"/>
    <n v="3.9"/>
    <x v="480"/>
    <x v="47"/>
    <x v="38"/>
    <n v="132000"/>
    <n v="217000"/>
    <n v="174500"/>
    <x v="0"/>
    <x v="0"/>
    <x v="0"/>
    <x v="0"/>
    <x v="0"/>
  </r>
  <r>
    <x v="290"/>
    <n v="3.9"/>
    <x v="481"/>
    <x v="47"/>
    <x v="38"/>
    <n v="109000"/>
    <n v="163000"/>
    <n v="136000"/>
    <x v="0"/>
    <x v="0"/>
    <x v="0"/>
    <x v="0"/>
    <x v="0"/>
  </r>
  <r>
    <x v="0"/>
    <n v="3.9"/>
    <x v="480"/>
    <x v="47"/>
    <x v="38"/>
    <n v="105000"/>
    <n v="171000"/>
    <n v="138000"/>
    <x v="0"/>
    <x v="0"/>
    <x v="0"/>
    <x v="0"/>
    <x v="0"/>
  </r>
  <r>
    <x v="0"/>
    <n v="3.9"/>
    <x v="482"/>
    <x v="47"/>
    <x v="38"/>
    <n v="105000"/>
    <n v="157000"/>
    <n v="131000"/>
    <x v="0"/>
    <x v="0"/>
    <x v="0"/>
    <x v="0"/>
    <x v="0"/>
  </r>
  <r>
    <x v="214"/>
    <n v="3.8"/>
    <x v="483"/>
    <x v="47"/>
    <x v="38"/>
    <n v="100000"/>
    <n v="120000"/>
    <n v="110000"/>
    <x v="0"/>
    <x v="0"/>
    <x v="0"/>
    <x v="0"/>
    <x v="0"/>
  </r>
  <r>
    <x v="0"/>
    <n v="2.7"/>
    <x v="484"/>
    <x v="47"/>
    <x v="38"/>
    <n v="96000"/>
    <n v="134000"/>
    <n v="115000"/>
    <x v="0"/>
    <x v="0"/>
    <x v="0"/>
    <x v="0"/>
    <x v="0"/>
  </r>
  <r>
    <x v="291"/>
    <n v="5"/>
    <x v="485"/>
    <x v="47"/>
    <x v="38"/>
    <n v="90000"/>
    <n v="140000"/>
    <n v="115000"/>
    <x v="0"/>
    <x v="0"/>
    <x v="0"/>
    <x v="0"/>
    <x v="0"/>
  </r>
  <r>
    <x v="0"/>
    <n v="4.4000000000000004"/>
    <x v="486"/>
    <x v="207"/>
    <x v="39"/>
    <n v="100000"/>
    <n v="151000"/>
    <n v="125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0"/>
    <n v="3"/>
    <x v="487"/>
    <x v="208"/>
    <x v="39"/>
    <n v="75000"/>
    <n v="130000"/>
    <n v="102500"/>
    <x v="0"/>
    <x v="0"/>
    <x v="0"/>
    <x v="0"/>
    <x v="0"/>
  </r>
  <r>
    <x v="292"/>
    <n v="3.5"/>
    <x v="427"/>
    <x v="209"/>
    <x v="39"/>
    <n v="113000"/>
    <n v="159000"/>
    <n v="136000"/>
    <x v="0"/>
    <x v="0"/>
    <x v="0"/>
    <x v="0"/>
    <x v="0"/>
  </r>
  <r>
    <x v="0"/>
    <n v="4.5"/>
    <x v="488"/>
    <x v="209"/>
    <x v="39"/>
    <n v="83000"/>
    <n v="125000"/>
    <n v="104000"/>
    <x v="0"/>
    <x v="0"/>
    <x v="0"/>
    <x v="0"/>
    <x v="0"/>
  </r>
  <r>
    <x v="0"/>
    <n v="3.4"/>
    <x v="489"/>
    <x v="209"/>
    <x v="39"/>
    <n v="82000"/>
    <n v="121000"/>
    <n v="101500"/>
    <x v="0"/>
    <x v="0"/>
    <x v="0"/>
    <x v="0"/>
    <x v="0"/>
  </r>
  <r>
    <x v="293"/>
    <n v="3.7"/>
    <x v="490"/>
    <x v="210"/>
    <x v="39"/>
    <n v="116000"/>
    <n v="151000"/>
    <n v="133500"/>
    <x v="0"/>
    <x v="0"/>
    <x v="0"/>
    <x v="0"/>
    <x v="0"/>
  </r>
  <r>
    <x v="0"/>
    <n v="5"/>
    <x v="491"/>
    <x v="210"/>
    <x v="39"/>
    <n v="104000"/>
    <n v="145000"/>
    <n v="124500"/>
    <x v="0"/>
    <x v="0"/>
    <x v="0"/>
    <x v="0"/>
    <x v="0"/>
  </r>
  <r>
    <x v="35"/>
    <n v="2.2000000000000002"/>
    <x v="492"/>
    <x v="210"/>
    <x v="39"/>
    <n v="100000"/>
    <n v="136000"/>
    <n v="118000"/>
    <x v="0"/>
    <x v="0"/>
    <x v="0"/>
    <x v="0"/>
    <x v="0"/>
  </r>
  <r>
    <x v="294"/>
    <n v="2.8"/>
    <x v="493"/>
    <x v="210"/>
    <x v="39"/>
    <n v="96000"/>
    <n v="133000"/>
    <n v="114500"/>
    <x v="0"/>
    <x v="1"/>
    <x v="0"/>
    <x v="0"/>
    <x v="0"/>
  </r>
  <r>
    <x v="0"/>
    <n v="3.5"/>
    <x v="494"/>
    <x v="210"/>
    <x v="39"/>
    <n v="77000"/>
    <n v="124000"/>
    <n v="100500"/>
    <x v="1"/>
    <x v="1"/>
    <x v="0"/>
    <x v="0"/>
    <x v="0"/>
  </r>
  <r>
    <x v="8"/>
    <n v="4.5"/>
    <x v="495"/>
    <x v="211"/>
    <x v="40"/>
    <n v="130000"/>
    <n v="186000"/>
    <n v="158000"/>
    <x v="0"/>
    <x v="0"/>
    <x v="0"/>
    <x v="0"/>
    <x v="0"/>
  </r>
  <r>
    <x v="295"/>
    <n v="3.5"/>
    <x v="149"/>
    <x v="211"/>
    <x v="40"/>
    <n v="113000"/>
    <n v="155000"/>
    <n v="134000"/>
    <x v="0"/>
    <x v="0"/>
    <x v="0"/>
    <x v="0"/>
    <x v="0"/>
  </r>
  <r>
    <x v="0"/>
    <n v="4"/>
    <x v="496"/>
    <x v="211"/>
    <x v="40"/>
    <n v="112000"/>
    <n v="172000"/>
    <n v="142000"/>
    <x v="0"/>
    <x v="0"/>
    <x v="0"/>
    <x v="0"/>
    <x v="0"/>
  </r>
  <r>
    <x v="296"/>
    <n v="3.7"/>
    <x v="497"/>
    <x v="211"/>
    <x v="40"/>
    <n v="80000"/>
    <n v="85000"/>
    <n v="82500"/>
    <x v="0"/>
    <x v="0"/>
    <x v="0"/>
    <x v="0"/>
    <x v="0"/>
  </r>
  <r>
    <x v="22"/>
    <n v="3.8"/>
    <x v="321"/>
    <x v="212"/>
    <x v="40"/>
    <n v="115000"/>
    <n v="157000"/>
    <n v="136000"/>
    <x v="0"/>
    <x v="0"/>
    <x v="0"/>
    <x v="0"/>
    <x v="0"/>
  </r>
  <r>
    <x v="297"/>
    <m/>
    <x v="498"/>
    <x v="213"/>
    <x v="40"/>
    <n v="96000"/>
    <n v="142000"/>
    <n v="119000"/>
    <x v="0"/>
    <x v="0"/>
    <x v="0"/>
    <x v="0"/>
    <x v="0"/>
  </r>
  <r>
    <x v="297"/>
    <m/>
    <x v="498"/>
    <x v="213"/>
    <x v="40"/>
    <n v="96000"/>
    <n v="142000"/>
    <n v="119000"/>
    <x v="0"/>
    <x v="0"/>
    <x v="0"/>
    <x v="0"/>
    <x v="0"/>
  </r>
  <r>
    <x v="8"/>
    <n v="4.2"/>
    <x v="499"/>
    <x v="214"/>
    <x v="40"/>
    <n v="113000"/>
    <n v="159000"/>
    <n v="136000"/>
    <x v="0"/>
    <x v="1"/>
    <x v="0"/>
    <x v="0"/>
    <x v="0"/>
  </r>
  <r>
    <x v="298"/>
    <n v="5"/>
    <x v="500"/>
    <x v="214"/>
    <x v="40"/>
    <n v="100000"/>
    <n v="136000"/>
    <n v="118000"/>
    <x v="0"/>
    <x v="0"/>
    <x v="0"/>
    <x v="0"/>
    <x v="0"/>
  </r>
  <r>
    <x v="0"/>
    <n v="4.0999999999999996"/>
    <x v="501"/>
    <x v="214"/>
    <x v="40"/>
    <n v="88000"/>
    <n v="132000"/>
    <n v="110000"/>
    <x v="0"/>
    <x v="0"/>
    <x v="0"/>
    <x v="0"/>
    <x v="0"/>
  </r>
  <r>
    <x v="299"/>
    <n v="4.5"/>
    <x v="502"/>
    <x v="214"/>
    <x v="40"/>
    <n v="84000"/>
    <n v="147000"/>
    <n v="115500"/>
    <x v="0"/>
    <x v="0"/>
    <x v="0"/>
    <x v="0"/>
    <x v="0"/>
  </r>
  <r>
    <x v="0"/>
    <n v="4.8"/>
    <x v="503"/>
    <x v="215"/>
    <x v="40"/>
    <n v="130000"/>
    <n v="140000"/>
    <n v="135000"/>
    <x v="0"/>
    <x v="0"/>
    <x v="0"/>
    <x v="0"/>
    <x v="0"/>
  </r>
  <r>
    <x v="0"/>
    <n v="5"/>
    <x v="504"/>
    <x v="215"/>
    <x v="40"/>
    <n v="91000"/>
    <n v="121000"/>
    <n v="106000"/>
    <x v="0"/>
    <x v="0"/>
    <x v="0"/>
    <x v="0"/>
    <x v="0"/>
  </r>
  <r>
    <x v="0"/>
    <n v="3"/>
    <x v="505"/>
    <x v="216"/>
    <x v="40"/>
    <n v="84000"/>
    <n v="127000"/>
    <n v="105500"/>
    <x v="0"/>
    <x v="0"/>
    <x v="0"/>
    <x v="0"/>
    <x v="0"/>
  </r>
  <r>
    <x v="0"/>
    <n v="3.6"/>
    <x v="506"/>
    <x v="217"/>
    <x v="40"/>
    <n v="89000"/>
    <n v="126000"/>
    <n v="107500"/>
    <x v="0"/>
    <x v="0"/>
    <x v="0"/>
    <x v="0"/>
    <x v="0"/>
  </r>
  <r>
    <x v="0"/>
    <n v="4.3"/>
    <x v="507"/>
    <x v="218"/>
    <x v="40"/>
    <n v="100000"/>
    <n v="141000"/>
    <n v="120500"/>
    <x v="0"/>
    <x v="1"/>
    <x v="0"/>
    <x v="0"/>
    <x v="0"/>
  </r>
  <r>
    <x v="0"/>
    <n v="4.7"/>
    <x v="508"/>
    <x v="219"/>
    <x v="40"/>
    <n v="90000"/>
    <n v="142000"/>
    <n v="116000"/>
    <x v="0"/>
    <x v="0"/>
    <x v="0"/>
    <x v="0"/>
    <x v="0"/>
  </r>
  <r>
    <x v="0"/>
    <n v="3.4"/>
    <x v="509"/>
    <x v="219"/>
    <x v="40"/>
    <n v="81000"/>
    <n v="126000"/>
    <n v="103500"/>
    <x v="1"/>
    <x v="0"/>
    <x v="0"/>
    <x v="0"/>
    <x v="0"/>
  </r>
  <r>
    <x v="94"/>
    <n v="3.8"/>
    <x v="510"/>
    <x v="220"/>
    <x v="40"/>
    <n v="77000"/>
    <n v="118000"/>
    <n v="97500"/>
    <x v="0"/>
    <x v="0"/>
    <x v="0"/>
    <x v="0"/>
    <x v="0"/>
  </r>
  <r>
    <x v="0"/>
    <n v="3.4"/>
    <x v="511"/>
    <x v="221"/>
    <x v="40"/>
    <n v="125000"/>
    <n v="175000"/>
    <n v="150000"/>
    <x v="0"/>
    <x v="0"/>
    <x v="0"/>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35"/>
    <n v="4.9000000000000004"/>
    <x v="512"/>
    <x v="221"/>
    <x v="40"/>
    <n v="96000"/>
    <n v="130000"/>
    <n v="113000"/>
    <x v="1"/>
    <x v="0"/>
    <x v="1"/>
    <x v="0"/>
    <x v="0"/>
  </r>
  <r>
    <x v="94"/>
    <n v="3.4"/>
    <x v="511"/>
    <x v="221"/>
    <x v="40"/>
    <n v="90000"/>
    <n v="140000"/>
    <n v="115000"/>
    <x v="0"/>
    <x v="0"/>
    <x v="0"/>
    <x v="0"/>
    <x v="0"/>
  </r>
  <r>
    <x v="300"/>
    <m/>
    <x v="513"/>
    <x v="221"/>
    <x v="40"/>
    <n v="88000"/>
    <n v="125000"/>
    <n v="1065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0"/>
    <n v="4.0999999999999996"/>
    <x v="514"/>
    <x v="221"/>
    <x v="40"/>
    <n v="85000"/>
    <n v="125000"/>
    <n v="105000"/>
    <x v="0"/>
    <x v="0"/>
    <x v="0"/>
    <x v="0"/>
    <x v="0"/>
  </r>
  <r>
    <x v="94"/>
    <n v="4.3"/>
    <x v="127"/>
    <x v="221"/>
    <x v="40"/>
    <n v="82000"/>
    <n v="112000"/>
    <n v="97000"/>
    <x v="0"/>
    <x v="0"/>
    <x v="0"/>
    <x v="0"/>
    <x v="0"/>
  </r>
  <r>
    <x v="0"/>
    <m/>
    <x v="515"/>
    <x v="221"/>
    <x v="40"/>
    <n v="70000"/>
    <n v="70000"/>
    <n v="70000"/>
    <x v="1"/>
    <x v="1"/>
    <x v="1"/>
    <x v="1"/>
    <x v="0"/>
  </r>
  <r>
    <x v="301"/>
    <n v="3.5"/>
    <x v="516"/>
    <x v="222"/>
    <x v="40"/>
    <n v="134000"/>
    <n v="200000"/>
    <n v="167000"/>
    <x v="0"/>
    <x v="0"/>
    <x v="0"/>
    <x v="0"/>
    <x v="0"/>
  </r>
  <r>
    <x v="302"/>
    <n v="3.9"/>
    <x v="517"/>
    <x v="222"/>
    <x v="40"/>
    <n v="123000"/>
    <n v="209000"/>
    <n v="166000"/>
    <x v="1"/>
    <x v="1"/>
    <x v="0"/>
    <x v="0"/>
    <x v="0"/>
  </r>
  <r>
    <x v="0"/>
    <n v="3.8"/>
    <x v="159"/>
    <x v="222"/>
    <x v="40"/>
    <n v="118000"/>
    <n v="214000"/>
    <n v="166000"/>
    <x v="0"/>
    <x v="0"/>
    <x v="0"/>
    <x v="0"/>
    <x v="0"/>
  </r>
  <r>
    <x v="303"/>
    <n v="1"/>
    <x v="518"/>
    <x v="222"/>
    <x v="40"/>
    <n v="107000"/>
    <n v="141000"/>
    <n v="124000"/>
    <x v="0"/>
    <x v="0"/>
    <x v="0"/>
    <x v="0"/>
    <x v="0"/>
  </r>
  <r>
    <x v="0"/>
    <n v="4.3"/>
    <x v="519"/>
    <x v="222"/>
    <x v="40"/>
    <n v="101000"/>
    <n v="136000"/>
    <n v="118500"/>
    <x v="0"/>
    <x v="0"/>
    <x v="0"/>
    <x v="0"/>
    <x v="0"/>
  </r>
  <r>
    <x v="94"/>
    <n v="3.9"/>
    <x v="520"/>
    <x v="222"/>
    <x v="40"/>
    <n v="74000"/>
    <n v="108000"/>
    <n v="91000"/>
    <x v="0"/>
    <x v="1"/>
    <x v="0"/>
    <x v="0"/>
    <x v="0"/>
  </r>
  <r>
    <x v="0"/>
    <n v="4"/>
    <x v="521"/>
    <x v="223"/>
    <x v="40"/>
    <n v="86000"/>
    <n v="129000"/>
    <n v="107500"/>
    <x v="0"/>
    <x v="0"/>
    <x v="0"/>
    <x v="0"/>
    <x v="0"/>
  </r>
  <r>
    <x v="304"/>
    <n v="4.0999999999999996"/>
    <x v="522"/>
    <x v="223"/>
    <x v="40"/>
    <n v="61000"/>
    <n v="92000"/>
    <n v="76500"/>
    <x v="0"/>
    <x v="1"/>
    <x v="0"/>
    <x v="0"/>
    <x v="0"/>
  </r>
  <r>
    <x v="0"/>
    <n v="4.0999999999999996"/>
    <x v="523"/>
    <x v="224"/>
    <x v="40"/>
    <n v="83000"/>
    <n v="83000"/>
    <n v="83000"/>
    <x v="0"/>
    <x v="0"/>
    <x v="0"/>
    <x v="0"/>
    <x v="0"/>
  </r>
  <r>
    <x v="305"/>
    <n v="3.6"/>
    <x v="524"/>
    <x v="225"/>
    <x v="40"/>
    <n v="94000"/>
    <n v="139000"/>
    <n v="116500"/>
    <x v="0"/>
    <x v="0"/>
    <x v="0"/>
    <x v="0"/>
    <x v="0"/>
  </r>
  <r>
    <x v="0"/>
    <n v="5"/>
    <x v="525"/>
    <x v="226"/>
    <x v="40"/>
    <n v="130000"/>
    <n v="190000"/>
    <n v="160000"/>
    <x v="0"/>
    <x v="0"/>
    <x v="0"/>
    <x v="0"/>
    <x v="0"/>
  </r>
  <r>
    <x v="8"/>
    <n v="4.5"/>
    <x v="502"/>
    <x v="226"/>
    <x v="40"/>
    <n v="118000"/>
    <n v="152000"/>
    <n v="135000"/>
    <x v="0"/>
    <x v="0"/>
    <x v="0"/>
    <x v="0"/>
    <x v="0"/>
  </r>
  <r>
    <x v="35"/>
    <n v="4.2"/>
    <x v="526"/>
    <x v="226"/>
    <x v="40"/>
    <n v="113000"/>
    <n v="154000"/>
    <n v="133500"/>
    <x v="0"/>
    <x v="0"/>
    <x v="0"/>
    <x v="0"/>
    <x v="0"/>
  </r>
  <r>
    <x v="0"/>
    <n v="4.5"/>
    <x v="527"/>
    <x v="226"/>
    <x v="40"/>
    <n v="92000"/>
    <n v="134000"/>
    <n v="113000"/>
    <x v="0"/>
    <x v="0"/>
    <x v="0"/>
    <x v="0"/>
    <x v="0"/>
  </r>
  <r>
    <x v="306"/>
    <n v="4.2"/>
    <x v="526"/>
    <x v="226"/>
    <x v="40"/>
    <n v="70000"/>
    <n v="104000"/>
    <n v="87000"/>
    <x v="0"/>
    <x v="0"/>
    <x v="0"/>
    <x v="0"/>
    <x v="0"/>
  </r>
  <r>
    <x v="0"/>
    <n v="3.9"/>
    <x v="528"/>
    <x v="227"/>
    <x v="40"/>
    <n v="99000"/>
    <n v="138000"/>
    <n v="118500"/>
    <x v="0"/>
    <x v="0"/>
    <x v="0"/>
    <x v="0"/>
    <x v="0"/>
  </r>
  <r>
    <x v="307"/>
    <n v="3.7"/>
    <x v="529"/>
    <x v="227"/>
    <x v="40"/>
    <n v="92000"/>
    <n v="124000"/>
    <n v="108000"/>
    <x v="0"/>
    <x v="1"/>
    <x v="1"/>
    <x v="1"/>
    <x v="0"/>
  </r>
  <r>
    <x v="0"/>
    <n v="2.7"/>
    <x v="530"/>
    <x v="227"/>
    <x v="40"/>
    <n v="88000"/>
    <n v="124000"/>
    <n v="106000"/>
    <x v="0"/>
    <x v="0"/>
    <x v="0"/>
    <x v="0"/>
    <x v="0"/>
  </r>
  <r>
    <x v="308"/>
    <n v="3.8"/>
    <x v="531"/>
    <x v="227"/>
    <x v="40"/>
    <n v="74000"/>
    <n v="115000"/>
    <n v="94500"/>
    <x v="0"/>
    <x v="0"/>
    <x v="0"/>
    <x v="0"/>
    <x v="0"/>
  </r>
  <r>
    <x v="309"/>
    <n v="3.5"/>
    <x v="532"/>
    <x v="228"/>
    <x v="40"/>
    <n v="76000"/>
    <n v="111000"/>
    <n v="93500"/>
    <x v="0"/>
    <x v="0"/>
    <x v="0"/>
    <x v="0"/>
    <x v="0"/>
  </r>
  <r>
    <x v="310"/>
    <n v="5"/>
    <x v="533"/>
    <x v="228"/>
    <x v="40"/>
    <n v="71000"/>
    <n v="111000"/>
    <n v="91000"/>
    <x v="0"/>
    <x v="1"/>
    <x v="0"/>
    <x v="0"/>
    <x v="0"/>
  </r>
  <r>
    <x v="155"/>
    <n v="3.5"/>
    <x v="180"/>
    <x v="229"/>
    <x v="41"/>
    <n v="156000"/>
    <n v="303000"/>
    <n v="229500"/>
    <x v="0"/>
    <x v="0"/>
    <x v="0"/>
    <x v="0"/>
    <x v="0"/>
  </r>
  <r>
    <x v="311"/>
    <n v="5"/>
    <x v="534"/>
    <x v="230"/>
    <x v="41"/>
    <n v="115000"/>
    <n v="160000"/>
    <n v="137500"/>
    <x v="0"/>
    <x v="0"/>
    <x v="0"/>
    <x v="0"/>
    <x v="0"/>
  </r>
  <r>
    <x v="312"/>
    <n v="4"/>
    <x v="535"/>
    <x v="231"/>
    <x v="41"/>
    <n v="92000"/>
    <n v="138000"/>
    <n v="115000"/>
    <x v="0"/>
    <x v="0"/>
    <x v="0"/>
    <x v="0"/>
    <x v="0"/>
  </r>
  <r>
    <x v="22"/>
    <n v="4.3"/>
    <x v="536"/>
    <x v="232"/>
    <x v="41"/>
    <n v="134000"/>
    <n v="257000"/>
    <n v="195500"/>
    <x v="0"/>
    <x v="0"/>
    <x v="0"/>
    <x v="0"/>
    <x v="0"/>
  </r>
  <r>
    <x v="8"/>
    <n v="4.3"/>
    <x v="536"/>
    <x v="232"/>
    <x v="41"/>
    <n v="112000"/>
    <n v="218000"/>
    <n v="165000"/>
    <x v="0"/>
    <x v="0"/>
    <x v="0"/>
    <x v="0"/>
    <x v="0"/>
  </r>
  <r>
    <x v="8"/>
    <n v="4.3"/>
    <x v="536"/>
    <x v="232"/>
    <x v="41"/>
    <n v="112000"/>
    <n v="218000"/>
    <n v="165000"/>
    <x v="0"/>
    <x v="0"/>
    <x v="0"/>
    <x v="0"/>
    <x v="0"/>
  </r>
  <r>
    <x v="313"/>
    <n v="4.3"/>
    <x v="536"/>
    <x v="232"/>
    <x v="41"/>
    <n v="94000"/>
    <n v="183000"/>
    <n v="138500"/>
    <x v="0"/>
    <x v="0"/>
    <x v="0"/>
    <x v="0"/>
    <x v="0"/>
  </r>
  <r>
    <x v="313"/>
    <n v="4.3"/>
    <x v="536"/>
    <x v="232"/>
    <x v="41"/>
    <n v="94000"/>
    <n v="183000"/>
    <n v="138500"/>
    <x v="0"/>
    <x v="0"/>
    <x v="0"/>
    <x v="0"/>
    <x v="0"/>
  </r>
  <r>
    <x v="314"/>
    <n v="4.5"/>
    <x v="537"/>
    <x v="233"/>
    <x v="41"/>
    <n v="205000"/>
    <n v="251000"/>
    <n v="228000"/>
    <x v="0"/>
    <x v="0"/>
    <x v="0"/>
    <x v="0"/>
    <x v="0"/>
  </r>
  <r>
    <x v="315"/>
    <n v="3.9"/>
    <x v="538"/>
    <x v="233"/>
    <x v="41"/>
    <n v="188000"/>
    <n v="240000"/>
    <n v="214000"/>
    <x v="0"/>
    <x v="0"/>
    <x v="0"/>
    <x v="0"/>
    <x v="0"/>
  </r>
  <r>
    <x v="316"/>
    <n v="4.5"/>
    <x v="537"/>
    <x v="233"/>
    <x v="41"/>
    <n v="179000"/>
    <n v="218000"/>
    <n v="198500"/>
    <x v="0"/>
    <x v="0"/>
    <x v="0"/>
    <x v="0"/>
    <x v="0"/>
  </r>
  <r>
    <x v="317"/>
    <n v="4.5"/>
    <x v="537"/>
    <x v="233"/>
    <x v="41"/>
    <n v="179000"/>
    <n v="218000"/>
    <n v="198500"/>
    <x v="0"/>
    <x v="0"/>
    <x v="0"/>
    <x v="0"/>
    <x v="0"/>
  </r>
  <r>
    <x v="22"/>
    <n v="4"/>
    <x v="539"/>
    <x v="233"/>
    <x v="41"/>
    <n v="168000"/>
    <n v="209000"/>
    <n v="188500"/>
    <x v="0"/>
    <x v="0"/>
    <x v="0"/>
    <x v="0"/>
    <x v="0"/>
  </r>
  <r>
    <x v="22"/>
    <n v="3.5"/>
    <x v="540"/>
    <x v="233"/>
    <x v="41"/>
    <n v="128000"/>
    <n v="173000"/>
    <n v="150500"/>
    <x v="0"/>
    <x v="0"/>
    <x v="0"/>
    <x v="0"/>
    <x v="0"/>
  </r>
  <r>
    <x v="318"/>
    <n v="4.3"/>
    <x v="541"/>
    <x v="233"/>
    <x v="41"/>
    <n v="125000"/>
    <n v="160000"/>
    <n v="142500"/>
    <x v="0"/>
    <x v="0"/>
    <x v="0"/>
    <x v="0"/>
    <x v="0"/>
  </r>
  <r>
    <x v="0"/>
    <n v="2.8"/>
    <x v="542"/>
    <x v="233"/>
    <x v="41"/>
    <n v="105000"/>
    <n v="140000"/>
    <n v="122500"/>
    <x v="0"/>
    <x v="0"/>
    <x v="0"/>
    <x v="0"/>
    <x v="0"/>
  </r>
  <r>
    <x v="0"/>
    <n v="4.2"/>
    <x v="543"/>
    <x v="233"/>
    <x v="41"/>
    <n v="8000"/>
    <n v="8000"/>
    <n v="8000"/>
    <x v="0"/>
    <x v="0"/>
    <x v="0"/>
    <x v="0"/>
    <x v="0"/>
  </r>
  <r>
    <x v="319"/>
    <n v="3"/>
    <x v="544"/>
    <x v="234"/>
    <x v="41"/>
    <n v="101000"/>
    <n v="138000"/>
    <n v="119500"/>
    <x v="0"/>
    <x v="0"/>
    <x v="0"/>
    <x v="0"/>
    <x v="0"/>
  </r>
  <r>
    <x v="320"/>
    <n v="3.7"/>
    <x v="545"/>
    <x v="235"/>
    <x v="42"/>
    <n v="66000"/>
    <n v="89000"/>
    <n v="77500"/>
    <x v="0"/>
    <x v="0"/>
    <x v="0"/>
    <x v="0"/>
    <x v="0"/>
  </r>
  <r>
    <x v="320"/>
    <n v="3.7"/>
    <x v="545"/>
    <x v="235"/>
    <x v="42"/>
    <n v="66000"/>
    <n v="89000"/>
    <n v="77500"/>
    <x v="0"/>
    <x v="0"/>
    <x v="0"/>
    <x v="0"/>
    <x v="0"/>
  </r>
  <r>
    <x v="321"/>
    <n v="3.7"/>
    <x v="546"/>
    <x v="236"/>
    <x v="42"/>
    <n v="146000"/>
    <n v="146000"/>
    <n v="146000"/>
    <x v="0"/>
    <x v="0"/>
    <x v="0"/>
    <x v="0"/>
    <x v="0"/>
  </r>
  <r>
    <x v="322"/>
    <n v="3.4"/>
    <x v="547"/>
    <x v="237"/>
    <x v="42"/>
    <n v="85000"/>
    <n v="120000"/>
    <n v="102500"/>
    <x v="0"/>
    <x v="0"/>
    <x v="0"/>
    <x v="0"/>
    <x v="0"/>
  </r>
  <r>
    <x v="0"/>
    <n v="3.6"/>
    <x v="548"/>
    <x v="238"/>
    <x v="42"/>
    <n v="82000"/>
    <n v="109000"/>
    <n v="95500"/>
    <x v="0"/>
    <x v="0"/>
    <x v="0"/>
    <x v="0"/>
    <x v="0"/>
  </r>
  <r>
    <x v="323"/>
    <n v="3.8"/>
    <x v="549"/>
    <x v="238"/>
    <x v="42"/>
    <n v="58000"/>
    <n v="83000"/>
    <n v="70500"/>
    <x v="0"/>
    <x v="0"/>
    <x v="0"/>
    <x v="0"/>
    <x v="0"/>
  </r>
  <r>
    <x v="0"/>
    <n v="3.8"/>
    <x v="550"/>
    <x v="180"/>
    <x v="42"/>
    <n v="92000"/>
    <n v="130000"/>
    <n v="111000"/>
    <x v="0"/>
    <x v="0"/>
    <x v="0"/>
    <x v="0"/>
    <x v="0"/>
  </r>
  <r>
    <x v="324"/>
    <n v="4.0999999999999996"/>
    <x v="551"/>
    <x v="239"/>
    <x v="42"/>
    <n v="87000"/>
    <n v="121000"/>
    <n v="10400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727CB1-899E-4E5C-BCD9-968B12A90569}"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7:B610" firstHeaderRow="1" firstDataRow="1" firstDataCol="1"/>
  <pivotFields count="13">
    <pivotField showAll="0"/>
    <pivotField dataField="1" showAll="0"/>
    <pivotField showAll="0"/>
    <pivotField showAll="0"/>
    <pivotField showAll="0"/>
    <pivotField numFmtId="169" showAll="0"/>
    <pivotField numFmtId="169" showAll="0"/>
    <pivotField numFmtId="169" showAll="0"/>
    <pivotField showAll="0">
      <items count="3">
        <item h="1"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Average of Job Rating" fld="1" subtotal="average" baseField="0" baseItem="0" numFmtId="170"/>
  </dataFields>
  <formats count="2">
    <format dxfId="62">
      <pivotArea outline="0" collapsedLevelsAreSubtotals="1" fieldPosition="0"/>
    </format>
    <format dxfId="61">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D75631-5985-4A43-AAF1-A9B500CE6F68}"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21" firstHeaderRow="1" firstDataRow="1" firstDataCol="1"/>
  <pivotFields count="13">
    <pivotField dataField="1" showAll="0"/>
    <pivotField showAll="0"/>
    <pivotField showAll="0"/>
    <pivotField axis="axisRow" showAll="0">
      <items count="241">
        <item x="5"/>
        <item x="6"/>
        <item x="169"/>
        <item x="154"/>
        <item x="207"/>
        <item x="7"/>
        <item x="102"/>
        <item x="111"/>
        <item x="3"/>
        <item x="211"/>
        <item x="212"/>
        <item x="77"/>
        <item x="125"/>
        <item x="78"/>
        <item x="48"/>
        <item x="192"/>
        <item x="112"/>
        <item x="155"/>
        <item x="126"/>
        <item x="181"/>
        <item x="229"/>
        <item x="1"/>
        <item x="8"/>
        <item x="113"/>
        <item x="103"/>
        <item x="49"/>
        <item x="213"/>
        <item x="9"/>
        <item x="172"/>
        <item x="10"/>
        <item x="104"/>
        <item x="114"/>
        <item x="105"/>
        <item x="156"/>
        <item x="144"/>
        <item x="193"/>
        <item x="82"/>
        <item x="11"/>
        <item x="214"/>
        <item x="145"/>
        <item x="146"/>
        <item x="215"/>
        <item x="216"/>
        <item x="173"/>
        <item x="138"/>
        <item x="85"/>
        <item x="86"/>
        <item x="176"/>
        <item x="115"/>
        <item x="182"/>
        <item x="50"/>
        <item x="116"/>
        <item x="177"/>
        <item x="153"/>
        <item x="183"/>
        <item x="12"/>
        <item x="208"/>
        <item x="87"/>
        <item x="13"/>
        <item x="194"/>
        <item x="106"/>
        <item x="178"/>
        <item x="127"/>
        <item x="51"/>
        <item x="83"/>
        <item x="128"/>
        <item x="61"/>
        <item x="14"/>
        <item x="15"/>
        <item x="79"/>
        <item x="147"/>
        <item x="157"/>
        <item x="158"/>
        <item x="159"/>
        <item x="217"/>
        <item x="184"/>
        <item x="218"/>
        <item x="151"/>
        <item x="129"/>
        <item x="139"/>
        <item x="16"/>
        <item x="219"/>
        <item x="80"/>
        <item x="64"/>
        <item x="117"/>
        <item x="118"/>
        <item x="17"/>
        <item x="18"/>
        <item x="65"/>
        <item x="119"/>
        <item x="19"/>
        <item x="52"/>
        <item x="81"/>
        <item x="235"/>
        <item x="148"/>
        <item x="220"/>
        <item x="120"/>
        <item x="56"/>
        <item x="149"/>
        <item x="20"/>
        <item x="140"/>
        <item x="221"/>
        <item x="98"/>
        <item x="195"/>
        <item x="0"/>
        <item x="66"/>
        <item x="96"/>
        <item x="84"/>
        <item x="21"/>
        <item x="196"/>
        <item x="160"/>
        <item x="67"/>
        <item x="161"/>
        <item x="141"/>
        <item x="230"/>
        <item x="68"/>
        <item x="99"/>
        <item x="100"/>
        <item x="69"/>
        <item x="130"/>
        <item x="209"/>
        <item x="231"/>
        <item x="88"/>
        <item x="152"/>
        <item x="89"/>
        <item x="121"/>
        <item x="185"/>
        <item x="2"/>
        <item x="22"/>
        <item x="131"/>
        <item x="23"/>
        <item x="24"/>
        <item x="53"/>
        <item x="236"/>
        <item x="204"/>
        <item x="107"/>
        <item x="179"/>
        <item x="222"/>
        <item x="25"/>
        <item x="237"/>
        <item x="90"/>
        <item x="70"/>
        <item x="71"/>
        <item x="238"/>
        <item x="134"/>
        <item x="180"/>
        <item x="91"/>
        <item x="26"/>
        <item x="72"/>
        <item x="239"/>
        <item x="57"/>
        <item x="101"/>
        <item x="174"/>
        <item x="205"/>
        <item x="27"/>
        <item x="62"/>
        <item x="223"/>
        <item x="224"/>
        <item x="92"/>
        <item x="191"/>
        <item x="28"/>
        <item x="97"/>
        <item x="73"/>
        <item x="29"/>
        <item x="197"/>
        <item x="186"/>
        <item x="4"/>
        <item x="162"/>
        <item x="187"/>
        <item x="198"/>
        <item x="74"/>
        <item x="30"/>
        <item x="135"/>
        <item x="206"/>
        <item x="124"/>
        <item x="163"/>
        <item x="54"/>
        <item x="225"/>
        <item x="164"/>
        <item x="150"/>
        <item x="232"/>
        <item x="31"/>
        <item x="189"/>
        <item x="171"/>
        <item x="226"/>
        <item x="227"/>
        <item x="58"/>
        <item x="32"/>
        <item x="93"/>
        <item x="165"/>
        <item x="132"/>
        <item x="122"/>
        <item x="94"/>
        <item x="142"/>
        <item x="136"/>
        <item x="210"/>
        <item x="199"/>
        <item x="33"/>
        <item x="34"/>
        <item x="35"/>
        <item x="36"/>
        <item x="37"/>
        <item x="38"/>
        <item x="39"/>
        <item x="40"/>
        <item x="41"/>
        <item x="42"/>
        <item x="43"/>
        <item x="75"/>
        <item x="137"/>
        <item x="95"/>
        <item x="200"/>
        <item x="233"/>
        <item x="166"/>
        <item x="170"/>
        <item x="190"/>
        <item x="44"/>
        <item x="201"/>
        <item x="228"/>
        <item x="59"/>
        <item x="45"/>
        <item x="143"/>
        <item x="123"/>
        <item x="46"/>
        <item x="175"/>
        <item x="76"/>
        <item x="202"/>
        <item x="167"/>
        <item x="168"/>
        <item x="133"/>
        <item x="47"/>
        <item x="234"/>
        <item x="108"/>
        <item x="60"/>
        <item x="188"/>
        <item x="203"/>
        <item x="55"/>
        <item x="63"/>
        <item x="109"/>
        <item x="110"/>
        <item t="default"/>
      </items>
    </pivotField>
    <pivotField axis="axisRow" showAll="0" sortType="descending">
      <items count="4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t="default" sd="0"/>
      </items>
      <autoSortScope>
        <pivotArea dataOnly="0" outline="0" fieldPosition="0">
          <references count="1">
            <reference field="4294967294" count="1" selected="0">
              <x v="0"/>
            </reference>
          </references>
        </pivotArea>
      </autoSortScope>
    </pivotField>
    <pivotField numFmtId="169" showAll="0"/>
    <pivotField numFmtId="169" showAll="0"/>
    <pivotField numFmtId="169" showAll="0"/>
    <pivotField showAll="0">
      <items count="3">
        <item h="1"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h="1" x="0"/>
        <item x="1"/>
        <item t="default"/>
      </items>
    </pivotField>
  </pivotFields>
  <rowFields count="2">
    <field x="4"/>
    <field x="3"/>
  </rowFields>
  <rowItems count="20">
    <i>
      <x v="40"/>
    </i>
    <i>
      <x v="35"/>
    </i>
    <i>
      <x v="3"/>
    </i>
    <i>
      <x v="37"/>
    </i>
    <i>
      <x v="34"/>
    </i>
    <i>
      <x v="8"/>
    </i>
    <i>
      <x v="11"/>
    </i>
    <i>
      <x v="6"/>
    </i>
    <i>
      <x v="4"/>
    </i>
    <i>
      <x v="33"/>
    </i>
    <i>
      <x v="31"/>
    </i>
    <i>
      <x v="10"/>
    </i>
    <i>
      <x v="19"/>
    </i>
    <i>
      <x v="25"/>
    </i>
    <i>
      <x v="27"/>
    </i>
    <i>
      <x v="2"/>
    </i>
    <i>
      <x v="39"/>
    </i>
    <i>
      <x v="20"/>
    </i>
    <i>
      <x v="23"/>
    </i>
    <i t="grand">
      <x/>
    </i>
  </rowItems>
  <colItems count="1">
    <i/>
  </colItems>
  <dataFields count="1">
    <dataField name="Count of Job Title" fld="0" subtotal="count" baseField="0" baseItem="0"/>
  </dataFields>
  <chartFormats count="2">
    <chartFormat chart="5"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B20FF-5770-4BC1-B2DD-4CDD94AF3D1C}"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02:D605" firstHeaderRow="0" firstDataRow="1" firstDataCol="1"/>
  <pivotFields count="13">
    <pivotField showAll="0"/>
    <pivotField showAll="0"/>
    <pivotField showAll="0"/>
    <pivotField showAll="0"/>
    <pivotField showAll="0"/>
    <pivotField dataField="1" numFmtId="169" showAll="0"/>
    <pivotField dataField="1" numFmtId="169" showAll="0"/>
    <pivotField dataField="1" numFmtId="169" showAll="0"/>
    <pivotField showAll="0">
      <items count="3">
        <item h="1"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axis="axisRow" showAll="0">
      <items count="3">
        <item x="0"/>
        <item x="1"/>
        <item t="default"/>
      </items>
    </pivotField>
  </pivotFields>
  <rowFields count="1">
    <field x="12"/>
  </rowFields>
  <rowItems count="3">
    <i>
      <x/>
    </i>
    <i>
      <x v="1"/>
    </i>
    <i t="grand">
      <x/>
    </i>
  </rowItems>
  <colFields count="1">
    <field x="-2"/>
  </colFields>
  <colItems count="3">
    <i>
      <x/>
    </i>
    <i i="1">
      <x v="1"/>
    </i>
    <i i="2">
      <x v="2"/>
    </i>
  </colItems>
  <dataFields count="3">
    <dataField name="Average of Miniumum Salary" fld="5" subtotal="average" baseField="0" baseItem="0" numFmtId="169"/>
    <dataField name="Average of Average Salary" fld="7" subtotal="average" baseField="0" baseItem="0" numFmtId="169"/>
    <dataField name="Average of Maximum Salary" fld="6" subtotal="average" baseField="0" baseItem="0" numFmtId="169"/>
  </dataFields>
  <chartFormats count="6">
    <chartFormat chart="7" format="0"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A67208-22EB-47A9-BB90-7401254C2165}"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87" firstHeaderRow="1" firstDataRow="1" firstDataCol="1"/>
  <pivotFields count="13">
    <pivotField dataField="1" showAll="0">
      <items count="326">
        <item x="210"/>
        <item x="1"/>
        <item x="164"/>
        <item x="77"/>
        <item x="185"/>
        <item x="284"/>
        <item x="202"/>
        <item x="44"/>
        <item x="195"/>
        <item x="95"/>
        <item x="12"/>
        <item x="165"/>
        <item x="97"/>
        <item x="194"/>
        <item x="240"/>
        <item x="278"/>
        <item x="192"/>
        <item x="299"/>
        <item x="209"/>
        <item x="86"/>
        <item x="85"/>
        <item x="16"/>
        <item x="161"/>
        <item x="102"/>
        <item x="13"/>
        <item x="306"/>
        <item x="200"/>
        <item x="135"/>
        <item x="59"/>
        <item x="38"/>
        <item x="117"/>
        <item x="239"/>
        <item x="277"/>
        <item x="3"/>
        <item x="40"/>
        <item x="303"/>
        <item x="118"/>
        <item x="294"/>
        <item x="307"/>
        <item x="70"/>
        <item x="188"/>
        <item x="10"/>
        <item x="228"/>
        <item x="267"/>
        <item x="0"/>
        <item x="41"/>
        <item x="179"/>
        <item x="139"/>
        <item x="144"/>
        <item x="315"/>
        <item x="137"/>
        <item x="190"/>
        <item x="216"/>
        <item x="173"/>
        <item x="110"/>
        <item x="302"/>
        <item x="298"/>
        <item x="212"/>
        <item x="33"/>
        <item x="113"/>
        <item x="246"/>
        <item x="319"/>
        <item x="114"/>
        <item x="176"/>
        <item x="15"/>
        <item x="28"/>
        <item x="172"/>
        <item x="255"/>
        <item x="111"/>
        <item x="145"/>
        <item x="274"/>
        <item x="36"/>
        <item x="29"/>
        <item x="291"/>
        <item x="214"/>
        <item x="313"/>
        <item x="25"/>
        <item x="30"/>
        <item x="96"/>
        <item x="305"/>
        <item x="20"/>
        <item x="196"/>
        <item x="23"/>
        <item x="26"/>
        <item x="141"/>
        <item x="151"/>
        <item x="276"/>
        <item x="280"/>
        <item x="5"/>
        <item x="279"/>
        <item x="197"/>
        <item x="322"/>
        <item x="191"/>
        <item x="101"/>
        <item x="171"/>
        <item x="234"/>
        <item x="297"/>
        <item x="257"/>
        <item x="2"/>
        <item x="211"/>
        <item x="304"/>
        <item x="4"/>
        <item x="262"/>
        <item x="147"/>
        <item x="184"/>
        <item x="14"/>
        <item x="254"/>
        <item x="68"/>
        <item x="57"/>
        <item x="225"/>
        <item x="205"/>
        <item x="224"/>
        <item x="134"/>
        <item x="230"/>
        <item x="130"/>
        <item x="208"/>
        <item x="217"/>
        <item x="170"/>
        <item x="80"/>
        <item x="42"/>
        <item x="186"/>
        <item x="159"/>
        <item x="272"/>
        <item x="259"/>
        <item x="55"/>
        <item x="273"/>
        <item x="91"/>
        <item x="56"/>
        <item x="177"/>
        <item x="32"/>
        <item x="11"/>
        <item x="24"/>
        <item x="258"/>
        <item x="106"/>
        <item x="181"/>
        <item x="183"/>
        <item x="300"/>
        <item x="233"/>
        <item x="204"/>
        <item x="189"/>
        <item x="89"/>
        <item x="282"/>
        <item x="140"/>
        <item x="48"/>
        <item x="312"/>
        <item x="156"/>
        <item x="268"/>
        <item x="263"/>
        <item x="71"/>
        <item x="7"/>
        <item x="283"/>
        <item x="245"/>
        <item x="221"/>
        <item x="269"/>
        <item x="296"/>
        <item x="74"/>
        <item x="116"/>
        <item x="132"/>
        <item x="275"/>
        <item x="286"/>
        <item x="99"/>
        <item x="125"/>
        <item x="146"/>
        <item x="37"/>
        <item x="285"/>
        <item x="293"/>
        <item x="223"/>
        <item x="131"/>
        <item x="266"/>
        <item x="260"/>
        <item x="154"/>
        <item x="153"/>
        <item x="231"/>
        <item x="206"/>
        <item x="76"/>
        <item x="46"/>
        <item x="120"/>
        <item x="178"/>
        <item x="229"/>
        <item x="94"/>
        <item x="187"/>
        <item x="310"/>
        <item x="149"/>
        <item x="122"/>
        <item x="207"/>
        <item x="133"/>
        <item x="72"/>
        <item x="270"/>
        <item x="311"/>
        <item x="152"/>
        <item x="93"/>
        <item x="50"/>
        <item x="69"/>
        <item x="90"/>
        <item x="107"/>
        <item x="213"/>
        <item x="148"/>
        <item x="203"/>
        <item x="109"/>
        <item x="182"/>
        <item x="318"/>
        <item x="175"/>
        <item x="174"/>
        <item x="261"/>
        <item x="9"/>
        <item x="198"/>
        <item x="22"/>
        <item x="128"/>
        <item x="241"/>
        <item x="289"/>
        <item x="314"/>
        <item x="237"/>
        <item x="321"/>
        <item x="155"/>
        <item x="34"/>
        <item x="227"/>
        <item x="138"/>
        <item x="320"/>
        <item x="115"/>
        <item x="301"/>
        <item x="127"/>
        <item x="264"/>
        <item x="150"/>
        <item x="235"/>
        <item x="162"/>
        <item x="236"/>
        <item x="27"/>
        <item x="126"/>
        <item x="323"/>
        <item x="238"/>
        <item x="249"/>
        <item x="180"/>
        <item x="98"/>
        <item x="75"/>
        <item x="287"/>
        <item x="136"/>
        <item x="8"/>
        <item x="43"/>
        <item x="265"/>
        <item x="79"/>
        <item x="244"/>
        <item x="58"/>
        <item x="17"/>
        <item x="220"/>
        <item x="193"/>
        <item x="243"/>
        <item x="218"/>
        <item x="251"/>
        <item x="158"/>
        <item x="250"/>
        <item x="219"/>
        <item x="18"/>
        <item x="201"/>
        <item x="142"/>
        <item x="54"/>
        <item x="61"/>
        <item x="163"/>
        <item x="292"/>
        <item x="64"/>
        <item x="157"/>
        <item x="49"/>
        <item x="226"/>
        <item x="63"/>
        <item x="288"/>
        <item x="317"/>
        <item x="247"/>
        <item x="83"/>
        <item x="271"/>
        <item x="215"/>
        <item x="87"/>
        <item x="105"/>
        <item x="316"/>
        <item x="52"/>
        <item x="60"/>
        <item x="47"/>
        <item x="295"/>
        <item x="248"/>
        <item x="100"/>
        <item x="88"/>
        <item x="143"/>
        <item x="232"/>
        <item x="45"/>
        <item x="108"/>
        <item x="124"/>
        <item x="119"/>
        <item x="290"/>
        <item x="6"/>
        <item x="222"/>
        <item x="73"/>
        <item x="104"/>
        <item x="121"/>
        <item x="39"/>
        <item x="256"/>
        <item x="35"/>
        <item x="65"/>
        <item x="123"/>
        <item x="21"/>
        <item x="81"/>
        <item x="129"/>
        <item x="67"/>
        <item x="308"/>
        <item x="19"/>
        <item x="253"/>
        <item x="252"/>
        <item x="160"/>
        <item x="31"/>
        <item x="53"/>
        <item x="51"/>
        <item x="82"/>
        <item x="62"/>
        <item x="242"/>
        <item x="66"/>
        <item x="84"/>
        <item x="92"/>
        <item x="112"/>
        <item x="103"/>
        <item x="309"/>
        <item x="324"/>
        <item x="166"/>
        <item x="167"/>
        <item x="78"/>
        <item x="169"/>
        <item x="281"/>
        <item x="199"/>
        <item x="168"/>
        <item t="default"/>
      </items>
    </pivotField>
    <pivotField showAll="0"/>
    <pivotField axis="axisRow" showAll="0" measureFilter="1" sortType="descending">
      <items count="553">
        <item x="299"/>
        <item x="16"/>
        <item x="212"/>
        <item x="314"/>
        <item x="153"/>
        <item x="76"/>
        <item x="142"/>
        <item x="527"/>
        <item x="342"/>
        <item x="99"/>
        <item x="102"/>
        <item x="508"/>
        <item x="166"/>
        <item x="184"/>
        <item x="191"/>
        <item x="400"/>
        <item x="163"/>
        <item x="74"/>
        <item x="393"/>
        <item x="67"/>
        <item x="352"/>
        <item x="306"/>
        <item x="468"/>
        <item x="528"/>
        <item x="378"/>
        <item x="70"/>
        <item x="119"/>
        <item x="268"/>
        <item x="298"/>
        <item x="337"/>
        <item x="529"/>
        <item x="427"/>
        <item x="28"/>
        <item x="139"/>
        <item x="316"/>
        <item x="65"/>
        <item x="428"/>
        <item x="8"/>
        <item x="64"/>
        <item x="514"/>
        <item x="418"/>
        <item x="243"/>
        <item x="5"/>
        <item x="178"/>
        <item x="345"/>
        <item x="216"/>
        <item x="503"/>
        <item x="449"/>
        <item x="53"/>
        <item x="221"/>
        <item x="177"/>
        <item x="284"/>
        <item x="501"/>
        <item x="274"/>
        <item x="252"/>
        <item x="517"/>
        <item x="226"/>
        <item x="544"/>
        <item x="357"/>
        <item x="125"/>
        <item x="481"/>
        <item x="19"/>
        <item x="485"/>
        <item x="95"/>
        <item x="100"/>
        <item x="296"/>
        <item x="540"/>
        <item x="149"/>
        <item x="311"/>
        <item x="233"/>
        <item x="174"/>
        <item x="190"/>
        <item x="297"/>
        <item x="492"/>
        <item x="263"/>
        <item x="546"/>
        <item x="205"/>
        <item x="548"/>
        <item x="254"/>
        <item x="406"/>
        <item x="493"/>
        <item x="71"/>
        <item x="215"/>
        <item x="510"/>
        <item x="253"/>
        <item x="324"/>
        <item x="52"/>
        <item x="257"/>
        <item x="273"/>
        <item x="113"/>
        <item x="471"/>
        <item x="247"/>
        <item x="322"/>
        <item x="301"/>
        <item x="214"/>
        <item x="186"/>
        <item x="531"/>
        <item x="91"/>
        <item x="211"/>
        <item x="347"/>
        <item x="41"/>
        <item x="188"/>
        <item x="229"/>
        <item x="495"/>
        <item x="354"/>
        <item x="432"/>
        <item x="180"/>
        <item x="451"/>
        <item x="459"/>
        <item x="25"/>
        <item x="122"/>
        <item x="425"/>
        <item x="372"/>
        <item x="144"/>
        <item x="491"/>
        <item x="59"/>
        <item x="398"/>
        <item x="519"/>
        <item x="466"/>
        <item x="512"/>
        <item x="515"/>
        <item x="395"/>
        <item x="331"/>
        <item x="550"/>
        <item x="110"/>
        <item x="382"/>
        <item x="355"/>
        <item x="533"/>
        <item x="141"/>
        <item x="172"/>
        <item x="358"/>
        <item x="542"/>
        <item x="36"/>
        <item x="538"/>
        <item x="55"/>
        <item x="422"/>
        <item x="473"/>
        <item x="414"/>
        <item x="376"/>
        <item x="171"/>
        <item x="518"/>
        <item x="14"/>
        <item x="147"/>
        <item x="335"/>
        <item x="246"/>
        <item x="18"/>
        <item x="97"/>
        <item x="79"/>
        <item x="135"/>
        <item x="89"/>
        <item x="218"/>
        <item x="27"/>
        <item x="173"/>
        <item x="112"/>
        <item x="202"/>
        <item x="534"/>
        <item x="505"/>
        <item x="431"/>
        <item x="282"/>
        <item x="513"/>
        <item x="48"/>
        <item x="194"/>
        <item x="90"/>
        <item x="271"/>
        <item x="210"/>
        <item x="302"/>
        <item x="419"/>
        <item x="374"/>
        <item x="223"/>
        <item x="368"/>
        <item x="438"/>
        <item x="35"/>
        <item x="525"/>
        <item x="209"/>
        <item x="289"/>
        <item x="50"/>
        <item x="343"/>
        <item x="264"/>
        <item x="420"/>
        <item x="131"/>
        <item x="413"/>
        <item x="455"/>
        <item x="132"/>
        <item x="15"/>
        <item x="323"/>
        <item x="535"/>
        <item x="391"/>
        <item x="389"/>
        <item x="154"/>
        <item x="454"/>
        <item x="288"/>
        <item x="300"/>
        <item x="446"/>
        <item x="435"/>
        <item x="187"/>
        <item x="107"/>
        <item x="318"/>
        <item x="359"/>
        <item x="208"/>
        <item x="280"/>
        <item x="80"/>
        <item x="78"/>
        <item x="516"/>
        <item x="9"/>
        <item x="104"/>
        <item x="120"/>
        <item x="467"/>
        <item x="417"/>
        <item x="111"/>
        <item x="266"/>
        <item x="69"/>
        <item x="227"/>
        <item x="106"/>
        <item x="484"/>
        <item x="270"/>
        <item x="82"/>
        <item x="333"/>
        <item x="283"/>
        <item x="404"/>
        <item x="138"/>
        <item x="292"/>
        <item x="137"/>
        <item x="286"/>
        <item x="478"/>
        <item x="411"/>
        <item x="46"/>
        <item x="477"/>
        <item x="373"/>
        <item x="423"/>
        <item x="206"/>
        <item x="310"/>
        <item x="511"/>
        <item x="204"/>
        <item x="394"/>
        <item x="281"/>
        <item x="176"/>
        <item x="287"/>
        <item x="303"/>
        <item x="40"/>
        <item x="476"/>
        <item x="260"/>
        <item x="179"/>
        <item x="88"/>
        <item x="183"/>
        <item x="17"/>
        <item x="329"/>
        <item x="401"/>
        <item x="472"/>
        <item x="293"/>
        <item x="290"/>
        <item x="312"/>
        <item x="161"/>
        <item x="121"/>
        <item x="98"/>
        <item x="375"/>
        <item x="197"/>
        <item x="356"/>
        <item x="224"/>
        <item x="87"/>
        <item x="532"/>
        <item x="261"/>
        <item x="13"/>
        <item x="507"/>
        <item x="23"/>
        <item x="379"/>
        <item x="200"/>
        <item x="49"/>
        <item x="443"/>
        <item x="164"/>
        <item x="170"/>
        <item x="380"/>
        <item x="397"/>
        <item x="445"/>
        <item x="521"/>
        <item x="522"/>
        <item x="239"/>
        <item x="248"/>
        <item x="328"/>
        <item x="433"/>
        <item x="24"/>
        <item x="415"/>
        <item x="128"/>
        <item x="279"/>
        <item x="242"/>
        <item x="551"/>
        <item x="237"/>
        <item x="547"/>
        <item x="409"/>
        <item x="222"/>
        <item x="57"/>
        <item x="101"/>
        <item x="320"/>
        <item x="461"/>
        <item x="31"/>
        <item x="92"/>
        <item x="159"/>
        <item x="45"/>
        <item x="325"/>
        <item x="134"/>
        <item x="309"/>
        <item x="469"/>
        <item x="84"/>
        <item x="486"/>
        <item x="156"/>
        <item x="307"/>
        <item x="58"/>
        <item x="117"/>
        <item x="444"/>
        <item x="42"/>
        <item x="295"/>
        <item x="259"/>
        <item x="330"/>
        <item x="453"/>
        <item x="234"/>
        <item x="175"/>
        <item x="291"/>
        <item x="384"/>
        <item x="480"/>
        <item x="199"/>
        <item x="452"/>
        <item x="344"/>
        <item x="549"/>
        <item x="371"/>
        <item x="213"/>
        <item x="456"/>
        <item x="336"/>
        <item x="294"/>
        <item x="20"/>
        <item x="524"/>
        <item x="462"/>
        <item x="536"/>
        <item x="244"/>
        <item x="245"/>
        <item x="305"/>
        <item x="482"/>
        <item x="220"/>
        <item x="366"/>
        <item x="388"/>
        <item x="54"/>
        <item x="11"/>
        <item x="498"/>
        <item x="136"/>
        <item x="267"/>
        <item x="506"/>
        <item x="497"/>
        <item x="43"/>
        <item x="351"/>
        <item x="365"/>
        <item x="364"/>
        <item x="475"/>
        <item x="530"/>
        <item x="407"/>
        <item x="198"/>
        <item x="377"/>
        <item x="502"/>
        <item x="196"/>
        <item x="39"/>
        <item x="236"/>
        <item x="81"/>
        <item x="541"/>
        <item x="108"/>
        <item x="447"/>
        <item x="474"/>
        <item x="436"/>
        <item x="1"/>
        <item x="228"/>
        <item x="231"/>
        <item x="353"/>
        <item x="526"/>
        <item x="523"/>
        <item x="165"/>
        <item x="256"/>
        <item x="520"/>
        <item x="192"/>
        <item x="332"/>
        <item x="37"/>
        <item x="83"/>
        <item x="207"/>
        <item x="276"/>
        <item x="6"/>
        <item x="488"/>
        <item x="442"/>
        <item x="363"/>
        <item x="504"/>
        <item x="509"/>
        <item x="265"/>
        <item x="460"/>
        <item x="10"/>
        <item x="350"/>
        <item x="60"/>
        <item x="241"/>
        <item x="448"/>
        <item x="85"/>
        <item x="105"/>
        <item x="238"/>
        <item x="489"/>
        <item x="127"/>
        <item x="334"/>
        <item x="162"/>
        <item x="483"/>
        <item x="33"/>
        <item x="367"/>
        <item x="396"/>
        <item x="434"/>
        <item x="96"/>
        <item x="22"/>
        <item x="362"/>
        <item x="405"/>
        <item x="387"/>
        <item x="155"/>
        <item x="275"/>
        <item x="348"/>
        <item x="38"/>
        <item x="424"/>
        <item x="439"/>
        <item x="537"/>
        <item x="255"/>
        <item x="315"/>
        <item x="539"/>
        <item x="7"/>
        <item x="21"/>
        <item x="277"/>
        <item x="62"/>
        <item x="103"/>
        <item x="479"/>
        <item x="232"/>
        <item x="349"/>
        <item x="399"/>
        <item x="429"/>
        <item x="201"/>
        <item x="402"/>
        <item x="339"/>
        <item x="168"/>
        <item x="77"/>
        <item x="4"/>
        <item x="317"/>
        <item x="61"/>
        <item x="230"/>
        <item x="545"/>
        <item x="115"/>
        <item x="390"/>
        <item x="93"/>
        <item x="109"/>
        <item x="458"/>
        <item x="133"/>
        <item x="29"/>
        <item x="440"/>
        <item x="240"/>
        <item x="181"/>
        <item x="392"/>
        <item x="465"/>
        <item x="44"/>
        <item x="285"/>
        <item x="32"/>
        <item x="421"/>
        <item x="34"/>
        <item x="313"/>
        <item x="360"/>
        <item x="251"/>
        <item x="114"/>
        <item x="63"/>
        <item x="116"/>
        <item x="278"/>
        <item x="75"/>
        <item x="56"/>
        <item x="410"/>
        <item x="370"/>
        <item x="73"/>
        <item x="450"/>
        <item x="68"/>
        <item x="189"/>
        <item x="430"/>
        <item x="383"/>
        <item x="225"/>
        <item x="499"/>
        <item x="47"/>
        <item x="412"/>
        <item x="66"/>
        <item x="30"/>
        <item x="361"/>
        <item x="145"/>
        <item x="217"/>
        <item x="487"/>
        <item x="182"/>
        <item x="319"/>
        <item x="500"/>
        <item x="140"/>
        <item x="195"/>
        <item x="386"/>
        <item x="124"/>
        <item x="51"/>
        <item x="249"/>
        <item x="437"/>
        <item x="338"/>
        <item x="169"/>
        <item x="118"/>
        <item x="148"/>
        <item x="129"/>
        <item x="193"/>
        <item x="86"/>
        <item x="470"/>
        <item x="94"/>
        <item x="123"/>
        <item x="262"/>
        <item x="272"/>
        <item x="258"/>
        <item x="340"/>
        <item x="304"/>
        <item x="12"/>
        <item x="369"/>
        <item x="543"/>
        <item x="385"/>
        <item x="160"/>
        <item x="496"/>
        <item x="269"/>
        <item x="158"/>
        <item x="2"/>
        <item x="157"/>
        <item x="0"/>
        <item x="152"/>
        <item x="126"/>
        <item x="150"/>
        <item x="203"/>
        <item x="490"/>
        <item x="457"/>
        <item x="308"/>
        <item x="326"/>
        <item x="327"/>
        <item x="321"/>
        <item x="72"/>
        <item x="151"/>
        <item x="250"/>
        <item x="130"/>
        <item x="3"/>
        <item x="463"/>
        <item x="381"/>
        <item x="146"/>
        <item x="341"/>
        <item x="403"/>
        <item x="235"/>
        <item x="185"/>
        <item x="219"/>
        <item x="441"/>
        <item x="464"/>
        <item x="346"/>
        <item x="167"/>
        <item x="143"/>
        <item x="494"/>
        <item x="408"/>
        <item x="416"/>
        <item x="26"/>
        <item x="426"/>
        <item t="default"/>
      </items>
      <autoSortScope>
        <pivotArea dataOnly="0" outline="0" fieldPosition="0">
          <references count="1">
            <reference field="4294967294" count="1" selected="0">
              <x v="0"/>
            </reference>
          </references>
        </pivotArea>
      </autoSortScope>
    </pivotField>
    <pivotField showAll="0"/>
    <pivotField showAll="0"/>
    <pivotField numFmtId="169" showAll="0"/>
    <pivotField numFmtId="169" showAll="0"/>
    <pivotField numFmtId="169" showAll="0"/>
    <pivotField showAll="0">
      <items count="3">
        <item h="1"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s>
  <rowFields count="1">
    <field x="2"/>
  </rowFields>
  <rowItems count="40">
    <i>
      <x v="119"/>
    </i>
    <i>
      <x v="403"/>
    </i>
    <i>
      <x v="25"/>
    </i>
    <i>
      <x v="477"/>
    </i>
    <i>
      <x v="389"/>
    </i>
    <i>
      <x v="277"/>
    </i>
    <i>
      <x v="68"/>
    </i>
    <i>
      <x v="107"/>
    </i>
    <i>
      <x v="108"/>
    </i>
    <i>
      <x v="547"/>
    </i>
    <i>
      <x v="24"/>
    </i>
    <i>
      <x v="329"/>
    </i>
    <i>
      <x v="120"/>
    </i>
    <i>
      <x v="471"/>
    </i>
    <i>
      <x v="143"/>
    </i>
    <i>
      <x v="517"/>
    </i>
    <i>
      <x v="148"/>
    </i>
    <i>
      <x v="9"/>
    </i>
    <i>
      <x v="149"/>
    </i>
    <i>
      <x v="314"/>
    </i>
    <i>
      <x v="384"/>
    </i>
    <i>
      <x v="351"/>
    </i>
    <i>
      <x v="55"/>
    </i>
    <i>
      <x v="450"/>
    </i>
    <i>
      <x v="409"/>
    </i>
    <i>
      <x v="150"/>
    </i>
    <i>
      <x v="435"/>
    </i>
    <i>
      <x v="161"/>
    </i>
    <i>
      <x v="467"/>
    </i>
    <i>
      <x v="181"/>
    </i>
    <i>
      <x v="472"/>
    </i>
    <i>
      <x v="234"/>
    </i>
    <i>
      <x v="495"/>
    </i>
    <i>
      <x v="248"/>
    </i>
    <i>
      <x v="533"/>
    </i>
    <i>
      <x v="261"/>
    </i>
    <i>
      <x v="548"/>
    </i>
    <i>
      <x v="265"/>
    </i>
    <i>
      <x v="269"/>
    </i>
    <i t="grand">
      <x/>
    </i>
  </rowItems>
  <colItems count="1">
    <i/>
  </colItems>
  <dataFields count="1">
    <dataField name="Count of Job Title" fld="0" subtotal="count" baseField="0" baseItem="0"/>
  </dataFields>
  <chartFormats count="554">
    <chartFormat chart="0" format="1" series="1">
      <pivotArea type="data" outline="0" fieldPosition="0">
        <references count="1">
          <reference field="4294967294" count="1" selected="0">
            <x v="0"/>
          </reference>
        </references>
      </pivotArea>
    </chartFormat>
    <chartFormat chart="4" format="3873" series="1">
      <pivotArea type="data" outline="0" fieldPosition="0">
        <references count="1">
          <reference field="4294967294" count="1" selected="0">
            <x v="0"/>
          </reference>
        </references>
      </pivotArea>
    </chartFormat>
    <chartFormat chart="4" format="3874">
      <pivotArea type="data" outline="0" fieldPosition="0">
        <references count="2">
          <reference field="4294967294" count="1" selected="0">
            <x v="0"/>
          </reference>
          <reference field="2" count="1" selected="0">
            <x v="261"/>
          </reference>
        </references>
      </pivotArea>
    </chartFormat>
    <chartFormat chart="4" format="3875">
      <pivotArea type="data" outline="0" fieldPosition="0">
        <references count="2">
          <reference field="4294967294" count="1" selected="0">
            <x v="0"/>
          </reference>
          <reference field="2" count="1" selected="0">
            <x v="378"/>
          </reference>
        </references>
      </pivotArea>
    </chartFormat>
    <chartFormat chart="4" format="3876">
      <pivotArea type="data" outline="0" fieldPosition="0">
        <references count="2">
          <reference field="4294967294" count="1" selected="0">
            <x v="0"/>
          </reference>
          <reference field="2" count="1" selected="0">
            <x v="525"/>
          </reference>
        </references>
      </pivotArea>
    </chartFormat>
    <chartFormat chart="4" format="3877">
      <pivotArea type="data" outline="0" fieldPosition="0">
        <references count="2">
          <reference field="4294967294" count="1" selected="0">
            <x v="0"/>
          </reference>
          <reference field="2" count="1" selected="0">
            <x v="493"/>
          </reference>
        </references>
      </pivotArea>
    </chartFormat>
    <chartFormat chart="4" format="3878">
      <pivotArea type="data" outline="0" fieldPosition="0">
        <references count="2">
          <reference field="4294967294" count="1" selected="0">
            <x v="0"/>
          </reference>
          <reference field="2" count="1" selected="0">
            <x v="289"/>
          </reference>
        </references>
      </pivotArea>
    </chartFormat>
    <chartFormat chart="4" format="3879">
      <pivotArea type="data" outline="0" fieldPosition="0">
        <references count="2">
          <reference field="4294967294" count="1" selected="0">
            <x v="0"/>
          </reference>
          <reference field="2" count="1" selected="0">
            <x v="322"/>
          </reference>
        </references>
      </pivotArea>
    </chartFormat>
    <chartFormat chart="4" format="3880">
      <pivotArea type="data" outline="0" fieldPosition="0">
        <references count="2">
          <reference field="4294967294" count="1" selected="0">
            <x v="0"/>
          </reference>
          <reference field="2" count="1" selected="0">
            <x v="264"/>
          </reference>
        </references>
      </pivotArea>
    </chartFormat>
    <chartFormat chart="4" format="3881">
      <pivotArea type="data" outline="0" fieldPosition="0">
        <references count="2">
          <reference field="4294967294" count="1" selected="0">
            <x v="0"/>
          </reference>
          <reference field="2" count="1" selected="0">
            <x v="110"/>
          </reference>
        </references>
      </pivotArea>
    </chartFormat>
    <chartFormat chart="4" format="3882">
      <pivotArea type="data" outline="0" fieldPosition="0">
        <references count="2">
          <reference field="4294967294" count="1" selected="0">
            <x v="0"/>
          </reference>
          <reference field="2" count="1" selected="0">
            <x v="119"/>
          </reference>
        </references>
      </pivotArea>
    </chartFormat>
    <chartFormat chart="4" format="3883">
      <pivotArea type="data" outline="0" fieldPosition="0">
        <references count="2">
          <reference field="4294967294" count="1" selected="0">
            <x v="0"/>
          </reference>
          <reference field="2" count="1" selected="0">
            <x v="394"/>
          </reference>
        </references>
      </pivotArea>
    </chartFormat>
    <chartFormat chart="4" format="3884">
      <pivotArea type="data" outline="0" fieldPosition="0">
        <references count="2">
          <reference field="4294967294" count="1" selected="0">
            <x v="0"/>
          </reference>
          <reference field="2" count="1" selected="0">
            <x v="277"/>
          </reference>
        </references>
      </pivotArea>
    </chartFormat>
    <chartFormat chart="4" format="3885">
      <pivotArea type="data" outline="0" fieldPosition="0">
        <references count="2">
          <reference field="4294967294" count="1" selected="0">
            <x v="0"/>
          </reference>
          <reference field="2" count="1" selected="0">
            <x v="431"/>
          </reference>
        </references>
      </pivotArea>
    </chartFormat>
    <chartFormat chart="4" format="3886">
      <pivotArea type="data" outline="0" fieldPosition="0">
        <references count="2">
          <reference field="4294967294" count="1" selected="0">
            <x v="0"/>
          </reference>
          <reference field="2" count="1" selected="0">
            <x v="403"/>
          </reference>
        </references>
      </pivotArea>
    </chartFormat>
    <chartFormat chart="4" format="3887">
      <pivotArea type="data" outline="0" fieldPosition="0">
        <references count="2">
          <reference field="4294967294" count="1" selected="0">
            <x v="0"/>
          </reference>
          <reference field="2" count="1" selected="0">
            <x v="254"/>
          </reference>
        </references>
      </pivotArea>
    </chartFormat>
    <chartFormat chart="4" format="3888">
      <pivotArea type="data" outline="0" fieldPosition="0">
        <references count="2">
          <reference field="4294967294" count="1" selected="0">
            <x v="0"/>
          </reference>
          <reference field="2" count="1" selected="0">
            <x v="141"/>
          </reference>
        </references>
      </pivotArea>
    </chartFormat>
    <chartFormat chart="4" format="3889">
      <pivotArea type="data" outline="0" fieldPosition="0">
        <references count="2">
          <reference field="4294967294" count="1" selected="0">
            <x v="0"/>
          </reference>
          <reference field="2" count="1" selected="0">
            <x v="458"/>
          </reference>
        </references>
      </pivotArea>
    </chartFormat>
    <chartFormat chart="4" format="3890">
      <pivotArea type="data" outline="0" fieldPosition="0">
        <references count="2">
          <reference field="4294967294" count="1" selected="0">
            <x v="0"/>
          </reference>
          <reference field="2" count="1" selected="0">
            <x v="482"/>
          </reference>
        </references>
      </pivotArea>
    </chartFormat>
    <chartFormat chart="4" format="3891">
      <pivotArea type="data" outline="0" fieldPosition="0">
        <references count="2">
          <reference field="4294967294" count="1" selected="0">
            <x v="0"/>
          </reference>
          <reference field="2" count="1" selected="0">
            <x v="236"/>
          </reference>
        </references>
      </pivotArea>
    </chartFormat>
    <chartFormat chart="4" format="3892">
      <pivotArea type="data" outline="0" fieldPosition="0">
        <references count="2">
          <reference field="4294967294" count="1" selected="0">
            <x v="0"/>
          </reference>
          <reference field="2" count="1" selected="0">
            <x v="39"/>
          </reference>
        </references>
      </pivotArea>
    </chartFormat>
    <chartFormat chart="4" format="3893">
      <pivotArea type="data" outline="0" fieldPosition="0">
        <references count="2">
          <reference field="4294967294" count="1" selected="0">
            <x v="0"/>
          </reference>
          <reference field="2" count="1" selected="0">
            <x v="527"/>
          </reference>
        </references>
      </pivotArea>
    </chartFormat>
    <chartFormat chart="4" format="3894">
      <pivotArea type="data" outline="0" fieldPosition="0">
        <references count="2">
          <reference field="4294967294" count="1" selected="0">
            <x v="0"/>
          </reference>
          <reference field="2" count="1" selected="0">
            <x v="487"/>
          </reference>
        </references>
      </pivotArea>
    </chartFormat>
    <chartFormat chart="4" format="3895">
      <pivotArea type="data" outline="0" fieldPosition="0">
        <references count="2">
          <reference field="4294967294" count="1" selected="0">
            <x v="0"/>
          </reference>
          <reference field="2" count="1" selected="0">
            <x v="228"/>
          </reference>
        </references>
      </pivotArea>
    </chartFormat>
    <chartFormat chart="4" format="3896">
      <pivotArea type="data" outline="0" fieldPosition="0">
        <references count="2">
          <reference field="4294967294" count="1" selected="0">
            <x v="0"/>
          </reference>
          <reference field="2" count="1" selected="0">
            <x v="546"/>
          </reference>
        </references>
      </pivotArea>
    </chartFormat>
    <chartFormat chart="4" format="3897">
      <pivotArea type="data" outline="0" fieldPosition="0">
        <references count="2">
          <reference field="4294967294" count="1" selected="0">
            <x v="0"/>
          </reference>
          <reference field="2" count="1" selected="0">
            <x v="490"/>
          </reference>
        </references>
      </pivotArea>
    </chartFormat>
    <chartFormat chart="4" format="3898">
      <pivotArea type="data" outline="0" fieldPosition="0">
        <references count="2">
          <reference field="4294967294" count="1" selected="0">
            <x v="0"/>
          </reference>
          <reference field="2" count="1" selected="0">
            <x v="436"/>
          </reference>
        </references>
      </pivotArea>
    </chartFormat>
    <chartFormat chart="4" format="3899">
      <pivotArea type="data" outline="0" fieldPosition="0">
        <references count="2">
          <reference field="4294967294" count="1" selected="0">
            <x v="0"/>
          </reference>
          <reference field="2" count="1" selected="0">
            <x v="398"/>
          </reference>
        </references>
      </pivotArea>
    </chartFormat>
    <chartFormat chart="4" format="3900">
      <pivotArea type="data" outline="0" fieldPosition="0">
        <references count="2">
          <reference field="4294967294" count="1" selected="0">
            <x v="0"/>
          </reference>
          <reference field="2" count="1" selected="0">
            <x v="266"/>
          </reference>
        </references>
      </pivotArea>
    </chartFormat>
    <chartFormat chart="4" format="3901">
      <pivotArea type="data" outline="0" fieldPosition="0">
        <references count="2">
          <reference field="4294967294" count="1" selected="0">
            <x v="0"/>
          </reference>
          <reference field="2" count="1" selected="0">
            <x v="330"/>
          </reference>
        </references>
      </pivotArea>
    </chartFormat>
    <chartFormat chart="4" format="3902">
      <pivotArea type="data" outline="0" fieldPosition="0">
        <references count="2">
          <reference field="4294967294" count="1" selected="0">
            <x v="0"/>
          </reference>
          <reference field="2" count="1" selected="0">
            <x v="358"/>
          </reference>
        </references>
      </pivotArea>
    </chartFormat>
    <chartFormat chart="4" format="3903">
      <pivotArea type="data" outline="0" fieldPosition="0">
        <references count="2">
          <reference field="4294967294" count="1" selected="0">
            <x v="0"/>
          </reference>
          <reference field="2" count="1" selected="0">
            <x v="533"/>
          </reference>
        </references>
      </pivotArea>
    </chartFormat>
    <chartFormat chart="4" format="3904">
      <pivotArea type="data" outline="0" fieldPosition="0">
        <references count="2">
          <reference field="4294967294" count="1" selected="0">
            <x v="0"/>
          </reference>
          <reference field="2" count="1" selected="0">
            <x v="187"/>
          </reference>
        </references>
      </pivotArea>
    </chartFormat>
    <chartFormat chart="4" format="3905">
      <pivotArea type="data" outline="0" fieldPosition="0">
        <references count="2">
          <reference field="4294967294" count="1" selected="0">
            <x v="0"/>
          </reference>
          <reference field="2" count="1" selected="0">
            <x v="146"/>
          </reference>
        </references>
      </pivotArea>
    </chartFormat>
    <chartFormat chart="4" format="3906">
      <pivotArea type="data" outline="0" fieldPosition="0">
        <references count="2">
          <reference field="4294967294" count="1" selected="0">
            <x v="0"/>
          </reference>
          <reference field="2" count="1" selected="0">
            <x v="106"/>
          </reference>
        </references>
      </pivotArea>
    </chartFormat>
    <chartFormat chart="4" format="3907">
      <pivotArea type="data" outline="0" fieldPosition="0">
        <references count="2">
          <reference field="4294967294" count="1" selected="0">
            <x v="0"/>
          </reference>
          <reference field="2" count="1" selected="0">
            <x v="89"/>
          </reference>
        </references>
      </pivotArea>
    </chartFormat>
    <chartFormat chart="4" format="3908">
      <pivotArea type="data" outline="0" fieldPosition="0">
        <references count="2">
          <reference field="4294967294" count="1" selected="0">
            <x v="0"/>
          </reference>
          <reference field="2" count="1" selected="0">
            <x v="477"/>
          </reference>
        </references>
      </pivotArea>
    </chartFormat>
    <chartFormat chart="4" format="3909">
      <pivotArea type="data" outline="0" fieldPosition="0">
        <references count="2">
          <reference field="4294967294" count="1" selected="0">
            <x v="0"/>
          </reference>
          <reference field="2" count="1" selected="0">
            <x v="388"/>
          </reference>
        </references>
      </pivotArea>
    </chartFormat>
    <chartFormat chart="4" format="3910">
      <pivotArea type="data" outline="0" fieldPosition="0">
        <references count="2">
          <reference field="4294967294" count="1" selected="0">
            <x v="0"/>
          </reference>
          <reference field="2" count="1" selected="0">
            <x v="415"/>
          </reference>
        </references>
      </pivotArea>
    </chartFormat>
    <chartFormat chart="4" format="3911">
      <pivotArea type="data" outline="0" fieldPosition="0">
        <references count="2">
          <reference field="4294967294" count="1" selected="0">
            <x v="0"/>
          </reference>
          <reference field="2" count="1" selected="0">
            <x v="423"/>
          </reference>
        </references>
      </pivotArea>
    </chartFormat>
    <chartFormat chart="4" format="3912">
      <pivotArea type="data" outline="0" fieldPosition="0">
        <references count="2">
          <reference field="4294967294" count="1" selected="0">
            <x v="0"/>
          </reference>
          <reference field="2" count="1" selected="0">
            <x v="5"/>
          </reference>
        </references>
      </pivotArea>
    </chartFormat>
    <chartFormat chart="4" format="3913">
      <pivotArea type="data" outline="0" fieldPosition="0">
        <references count="2">
          <reference field="4294967294" count="1" selected="0">
            <x v="0"/>
          </reference>
          <reference field="2" count="1" selected="0">
            <x v="175"/>
          </reference>
        </references>
      </pivotArea>
    </chartFormat>
    <chartFormat chart="4" format="3914">
      <pivotArea type="data" outline="0" fieldPosition="0">
        <references count="2">
          <reference field="4294967294" count="1" selected="0">
            <x v="0"/>
          </reference>
          <reference field="2" count="1" selected="0">
            <x v="45"/>
          </reference>
        </references>
      </pivotArea>
    </chartFormat>
    <chartFormat chart="4" format="3915">
      <pivotArea type="data" outline="0" fieldPosition="0">
        <references count="2">
          <reference field="4294967294" count="1" selected="0">
            <x v="0"/>
          </reference>
          <reference field="2" count="1" selected="0">
            <x v="230"/>
          </reference>
        </references>
      </pivotArea>
    </chartFormat>
    <chartFormat chart="4" format="3916">
      <pivotArea type="data" outline="0" fieldPosition="0">
        <references count="2">
          <reference field="4294967294" count="1" selected="0">
            <x v="0"/>
          </reference>
          <reference field="2" count="1" selected="0">
            <x v="53"/>
          </reference>
        </references>
      </pivotArea>
    </chartFormat>
    <chartFormat chart="4" format="3917">
      <pivotArea type="data" outline="0" fieldPosition="0">
        <references count="2">
          <reference field="4294967294" count="1" selected="0">
            <x v="0"/>
          </reference>
          <reference field="2" count="1" selected="0">
            <x v="243"/>
          </reference>
        </references>
      </pivotArea>
    </chartFormat>
    <chartFormat chart="4" format="3918">
      <pivotArea type="data" outline="0" fieldPosition="0">
        <references count="2">
          <reference field="4294967294" count="1" selected="0">
            <x v="0"/>
          </reference>
          <reference field="2" count="1" selected="0">
            <x v="59"/>
          </reference>
        </references>
      </pivotArea>
    </chartFormat>
    <chartFormat chart="4" format="3919">
      <pivotArea type="data" outline="0" fieldPosition="0">
        <references count="2">
          <reference field="4294967294" count="1" selected="0">
            <x v="0"/>
          </reference>
          <reference field="2" count="1" selected="0">
            <x v="25"/>
          </reference>
        </references>
      </pivotArea>
    </chartFormat>
    <chartFormat chart="4" format="3920">
      <pivotArea type="data" outline="0" fieldPosition="0">
        <references count="2">
          <reference field="4294967294" count="1" selected="0">
            <x v="0"/>
          </reference>
          <reference field="2" count="1" selected="0">
            <x v="247"/>
          </reference>
        </references>
      </pivotArea>
    </chartFormat>
    <chartFormat chart="4" format="3921">
      <pivotArea type="data" outline="0" fieldPosition="0">
        <references count="2">
          <reference field="4294967294" count="1" selected="0">
            <x v="0"/>
          </reference>
          <reference field="2" count="1" selected="0">
            <x v="251"/>
          </reference>
        </references>
      </pivotArea>
    </chartFormat>
    <chartFormat chart="4" format="3922">
      <pivotArea type="data" outline="0" fieldPosition="0">
        <references count="2">
          <reference field="4294967294" count="1" selected="0">
            <x v="0"/>
          </reference>
          <reference field="2" count="1" selected="0">
            <x v="460"/>
          </reference>
        </references>
      </pivotArea>
    </chartFormat>
    <chartFormat chart="4" format="3923">
      <pivotArea type="data" outline="0" fieldPosition="0">
        <references count="2">
          <reference field="4294967294" count="1" selected="0">
            <x v="0"/>
          </reference>
          <reference field="2" count="1" selected="0">
            <x v="396"/>
          </reference>
        </references>
      </pivotArea>
    </chartFormat>
    <chartFormat chart="4" format="3924">
      <pivotArea type="data" outline="0" fieldPosition="0">
        <references count="2">
          <reference field="4294967294" count="1" selected="0">
            <x v="0"/>
          </reference>
          <reference field="2" count="1" selected="0">
            <x v="478"/>
          </reference>
        </references>
      </pivotArea>
    </chartFormat>
    <chartFormat chart="4" format="3925">
      <pivotArea type="data" outline="0" fieldPosition="0">
        <references count="2">
          <reference field="4294967294" count="1" selected="0">
            <x v="0"/>
          </reference>
          <reference field="2" count="1" selected="0">
            <x v="310"/>
          </reference>
        </references>
      </pivotArea>
    </chartFormat>
    <chartFormat chart="4" format="3926">
      <pivotArea type="data" outline="0" fieldPosition="0">
        <references count="2">
          <reference field="4294967294" count="1" selected="0">
            <x v="0"/>
          </reference>
          <reference field="2" count="1" selected="0">
            <x v="354"/>
          </reference>
        </references>
      </pivotArea>
    </chartFormat>
    <chartFormat chart="4" format="3927">
      <pivotArea type="data" outline="0" fieldPosition="0">
        <references count="2">
          <reference field="4294967294" count="1" selected="0">
            <x v="0"/>
          </reference>
          <reference field="2" count="1" selected="0">
            <x v="404"/>
          </reference>
        </references>
      </pivotArea>
    </chartFormat>
    <chartFormat chart="4" format="3928">
      <pivotArea type="data" outline="0" fieldPosition="0">
        <references count="2">
          <reference field="4294967294" count="1" selected="0">
            <x v="0"/>
          </reference>
          <reference field="2" count="1" selected="0">
            <x v="476"/>
          </reference>
        </references>
      </pivotArea>
    </chartFormat>
    <chartFormat chart="4" format="3929">
      <pivotArea type="data" outline="0" fieldPosition="0">
        <references count="2">
          <reference field="4294967294" count="1" selected="0">
            <x v="0"/>
          </reference>
          <reference field="2" count="1" selected="0">
            <x v="382"/>
          </reference>
        </references>
      </pivotArea>
    </chartFormat>
    <chartFormat chart="4" format="3930">
      <pivotArea type="data" outline="0" fieldPosition="0">
        <references count="2">
          <reference field="4294967294" count="1" selected="0">
            <x v="0"/>
          </reference>
          <reference field="2" count="1" selected="0">
            <x v="327"/>
          </reference>
        </references>
      </pivotArea>
    </chartFormat>
    <chartFormat chart="4" format="3931">
      <pivotArea type="data" outline="0" fieldPosition="0">
        <references count="2">
          <reference field="4294967294" count="1" selected="0">
            <x v="0"/>
          </reference>
          <reference field="2" count="1" selected="0">
            <x v="412"/>
          </reference>
        </references>
      </pivotArea>
    </chartFormat>
    <chartFormat chart="4" format="3932">
      <pivotArea type="data" outline="0" fieldPosition="0">
        <references count="2">
          <reference field="4294967294" count="1" selected="0">
            <x v="0"/>
          </reference>
          <reference field="2" count="1" selected="0">
            <x v="340"/>
          </reference>
        </references>
      </pivotArea>
    </chartFormat>
    <chartFormat chart="4" format="3933">
      <pivotArea type="data" outline="0" fieldPosition="0">
        <references count="2">
          <reference field="4294967294" count="1" selected="0">
            <x v="0"/>
          </reference>
          <reference field="2" count="1" selected="0">
            <x v="414"/>
          </reference>
        </references>
      </pivotArea>
    </chartFormat>
    <chartFormat chart="4" format="3934">
      <pivotArea type="data" outline="0" fieldPosition="0">
        <references count="2">
          <reference field="4294967294" count="1" selected="0">
            <x v="0"/>
          </reference>
          <reference field="2" count="1" selected="0">
            <x v="281"/>
          </reference>
        </references>
      </pivotArea>
    </chartFormat>
    <chartFormat chart="4" format="3935">
      <pivotArea type="data" outline="0" fieldPosition="0">
        <references count="2">
          <reference field="4294967294" count="1" selected="0">
            <x v="0"/>
          </reference>
          <reference field="2" count="1" selected="0">
            <x v="385"/>
          </reference>
        </references>
      </pivotArea>
    </chartFormat>
    <chartFormat chart="4" format="3936">
      <pivotArea type="data" outline="0" fieldPosition="0">
        <references count="2">
          <reference field="4294967294" count="1" selected="0">
            <x v="0"/>
          </reference>
          <reference field="2" count="1" selected="0">
            <x v="463"/>
          </reference>
        </references>
      </pivotArea>
    </chartFormat>
    <chartFormat chart="4" format="3937">
      <pivotArea type="data" outline="0" fieldPosition="0">
        <references count="2">
          <reference field="4294967294" count="1" selected="0">
            <x v="0"/>
          </reference>
          <reference field="2" count="1" selected="0">
            <x v="417"/>
          </reference>
        </references>
      </pivotArea>
    </chartFormat>
    <chartFormat chart="4" format="3938">
      <pivotArea type="data" outline="0" fieldPosition="0">
        <references count="2">
          <reference field="4294967294" count="1" selected="0">
            <x v="0"/>
          </reference>
          <reference field="2" count="1" selected="0">
            <x v="392"/>
          </reference>
        </references>
      </pivotArea>
    </chartFormat>
    <chartFormat chart="4" format="3939">
      <pivotArea type="data" outline="0" fieldPosition="0">
        <references count="2">
          <reference field="4294967294" count="1" selected="0">
            <x v="0"/>
          </reference>
          <reference field="2" count="1" selected="0">
            <x v="368"/>
          </reference>
        </references>
      </pivotArea>
    </chartFormat>
    <chartFormat chart="4" format="3940">
      <pivotArea type="data" outline="0" fieldPosition="0">
        <references count="2">
          <reference field="4294967294" count="1" selected="0">
            <x v="0"/>
          </reference>
          <reference field="2" count="1" selected="0">
            <x v="481"/>
          </reference>
        </references>
      </pivotArea>
    </chartFormat>
    <chartFormat chart="4" format="3941">
      <pivotArea type="data" outline="0" fieldPosition="0">
        <references count="2">
          <reference field="4294967294" count="1" selected="0">
            <x v="0"/>
          </reference>
          <reference field="2" count="1" selected="0">
            <x v="528"/>
          </reference>
        </references>
      </pivotArea>
    </chartFormat>
    <chartFormat chart="4" format="3942">
      <pivotArea type="data" outline="0" fieldPosition="0">
        <references count="2">
          <reference field="4294967294" count="1" selected="0">
            <x v="0"/>
          </reference>
          <reference field="2" count="1" selected="0">
            <x v="305"/>
          </reference>
        </references>
      </pivotArea>
    </chartFormat>
    <chartFormat chart="4" format="3943">
      <pivotArea type="data" outline="0" fieldPosition="0">
        <references count="2">
          <reference field="4294967294" count="1" selected="0">
            <x v="0"/>
          </reference>
          <reference field="2" count="1" selected="0">
            <x v="366"/>
          </reference>
        </references>
      </pivotArea>
    </chartFormat>
    <chartFormat chart="4" format="3944">
      <pivotArea type="data" outline="0" fieldPosition="0">
        <references count="2">
          <reference field="4294967294" count="1" selected="0">
            <x v="0"/>
          </reference>
          <reference field="2" count="1" selected="0">
            <x v="492"/>
          </reference>
        </references>
      </pivotArea>
    </chartFormat>
    <chartFormat chart="4" format="3945">
      <pivotArea type="data" outline="0" fieldPosition="0">
        <references count="2">
          <reference field="4294967294" count="1" selected="0">
            <x v="0"/>
          </reference>
          <reference field="2" count="1" selected="0">
            <x v="389"/>
          </reference>
        </references>
      </pivotArea>
    </chartFormat>
    <chartFormat chart="4" format="3946">
      <pivotArea type="data" outline="0" fieldPosition="0">
        <references count="2">
          <reference field="4294967294" count="1" selected="0">
            <x v="0"/>
          </reference>
          <reference field="2" count="1" selected="0">
            <x v="518"/>
          </reference>
        </references>
      </pivotArea>
    </chartFormat>
    <chartFormat chart="4" format="3947">
      <pivotArea type="data" outline="0" fieldPosition="0">
        <references count="2">
          <reference field="4294967294" count="1" selected="0">
            <x v="0"/>
          </reference>
          <reference field="2" count="1" selected="0">
            <x v="438"/>
          </reference>
        </references>
      </pivotArea>
    </chartFormat>
    <chartFormat chart="4" format="3948">
      <pivotArea type="data" outline="0" fieldPosition="0">
        <references count="2">
          <reference field="4294967294" count="1" selected="0">
            <x v="0"/>
          </reference>
          <reference field="2" count="1" selected="0">
            <x v="295"/>
          </reference>
        </references>
      </pivotArea>
    </chartFormat>
    <chartFormat chart="4" format="3949">
      <pivotArea type="data" outline="0" fieldPosition="0">
        <references count="2">
          <reference field="4294967294" count="1" selected="0">
            <x v="0"/>
          </reference>
          <reference field="2" count="1" selected="0">
            <x v="452"/>
          </reference>
        </references>
      </pivotArea>
    </chartFormat>
    <chartFormat chart="4" format="3950">
      <pivotArea type="data" outline="0" fieldPosition="0">
        <references count="2">
          <reference field="4294967294" count="1" selected="0">
            <x v="0"/>
          </reference>
          <reference field="2" count="1" selected="0">
            <x v="530"/>
          </reference>
        </references>
      </pivotArea>
    </chartFormat>
    <chartFormat chart="4" format="3951">
      <pivotArea type="data" outline="0" fieldPosition="0">
        <references count="2">
          <reference field="4294967294" count="1" selected="0">
            <x v="0"/>
          </reference>
          <reference field="2" count="1" selected="0">
            <x v="317"/>
          </reference>
        </references>
      </pivotArea>
    </chartFormat>
    <chartFormat chart="4" format="3952">
      <pivotArea type="data" outline="0" fieldPosition="0">
        <references count="2">
          <reference field="4294967294" count="1" selected="0">
            <x v="0"/>
          </reference>
          <reference field="2" count="1" selected="0">
            <x v="433"/>
          </reference>
        </references>
      </pivotArea>
    </chartFormat>
    <chartFormat chart="4" format="3953">
      <pivotArea type="data" outline="0" fieldPosition="0">
        <references count="2">
          <reference field="4294967294" count="1" selected="0">
            <x v="0"/>
          </reference>
          <reference field="2" count="1" selected="0">
            <x v="410"/>
          </reference>
        </references>
      </pivotArea>
    </chartFormat>
    <chartFormat chart="4" format="3954">
      <pivotArea type="data" outline="0" fieldPosition="0">
        <references count="2">
          <reference field="4294967294" count="1" selected="0">
            <x v="0"/>
          </reference>
          <reference field="2" count="1" selected="0">
            <x v="276"/>
          </reference>
        </references>
      </pivotArea>
    </chartFormat>
    <chartFormat chart="4" format="3955">
      <pivotArea type="data" outline="0" fieldPosition="0">
        <references count="2">
          <reference field="4294967294" count="1" selected="0">
            <x v="0"/>
          </reference>
          <reference field="2" count="1" selected="0">
            <x v="67"/>
          </reference>
        </references>
      </pivotArea>
    </chartFormat>
    <chartFormat chart="4" format="3956">
      <pivotArea type="data" outline="0" fieldPosition="0">
        <references count="2">
          <reference field="4294967294" count="1" selected="0">
            <x v="0"/>
          </reference>
          <reference field="2" count="1" selected="0">
            <x v="17"/>
          </reference>
        </references>
      </pivotArea>
    </chartFormat>
    <chartFormat chart="4" format="3957">
      <pivotArea type="data" outline="0" fieldPosition="0">
        <references count="2">
          <reference field="4294967294" count="1" selected="0">
            <x v="0"/>
          </reference>
          <reference field="2" count="1" selected="0">
            <x v="86"/>
          </reference>
        </references>
      </pivotArea>
    </chartFormat>
    <chartFormat chart="4" format="3958">
      <pivotArea type="data" outline="0" fieldPosition="0">
        <references count="2">
          <reference field="4294967294" count="1" selected="0">
            <x v="0"/>
          </reference>
          <reference field="2" count="1" selected="0">
            <x v="13"/>
          </reference>
        </references>
      </pivotArea>
    </chartFormat>
    <chartFormat chart="4" format="3959">
      <pivotArea type="data" outline="0" fieldPosition="0">
        <references count="2">
          <reference field="4294967294" count="1" selected="0">
            <x v="0"/>
          </reference>
          <reference field="2" count="1" selected="0">
            <x v="199"/>
          </reference>
        </references>
      </pivotArea>
    </chartFormat>
    <chartFormat chart="4" format="3960">
      <pivotArea type="data" outline="0" fieldPosition="0">
        <references count="2">
          <reference field="4294967294" count="1" selected="0">
            <x v="0"/>
          </reference>
          <reference field="2" count="1" selected="0">
            <x v="31"/>
          </reference>
        </references>
      </pivotArea>
    </chartFormat>
    <chartFormat chart="4" format="3961">
      <pivotArea type="data" outline="0" fieldPosition="0">
        <references count="2">
          <reference field="4294967294" count="1" selected="0">
            <x v="0"/>
          </reference>
          <reference field="2" count="1" selected="0">
            <x v="240"/>
          </reference>
        </references>
      </pivotArea>
    </chartFormat>
    <chartFormat chart="4" format="3962">
      <pivotArea type="data" outline="0" fieldPosition="0">
        <references count="2">
          <reference field="4294967294" count="1" selected="0">
            <x v="0"/>
          </reference>
          <reference field="2" count="1" selected="0">
            <x v="98"/>
          </reference>
        </references>
      </pivotArea>
    </chartFormat>
    <chartFormat chart="4" format="3963">
      <pivotArea type="data" outline="0" fieldPosition="0">
        <references count="2">
          <reference field="4294967294" count="1" selected="0">
            <x v="0"/>
          </reference>
          <reference field="2" count="1" selected="0">
            <x v="48"/>
          </reference>
        </references>
      </pivotArea>
    </chartFormat>
    <chartFormat chart="4" format="3964">
      <pivotArea type="data" outline="0" fieldPosition="0">
        <references count="2">
          <reference field="4294967294" count="1" selected="0">
            <x v="0"/>
          </reference>
          <reference field="2" count="1" selected="0">
            <x v="100"/>
          </reference>
        </references>
      </pivotArea>
    </chartFormat>
    <chartFormat chart="4" format="3965">
      <pivotArea type="data" outline="0" fieldPosition="0">
        <references count="2">
          <reference field="4294967294" count="1" selected="0">
            <x v="0"/>
          </reference>
          <reference field="2" count="1" selected="0">
            <x v="193"/>
          </reference>
        </references>
      </pivotArea>
    </chartFormat>
    <chartFormat chart="4" format="3966">
      <pivotArea type="data" outline="0" fieldPosition="0">
        <references count="2">
          <reference field="4294967294" count="1" selected="0">
            <x v="0"/>
          </reference>
          <reference field="2" count="1" selected="0">
            <x v="43"/>
          </reference>
        </references>
      </pivotArea>
    </chartFormat>
    <chartFormat chart="4" format="3967">
      <pivotArea type="data" outline="0" fieldPosition="0">
        <references count="2">
          <reference field="4294967294" count="1" selected="0">
            <x v="0"/>
          </reference>
          <reference field="2" count="1" selected="0">
            <x v="24"/>
          </reference>
        </references>
      </pivotArea>
    </chartFormat>
    <chartFormat chart="4" format="3968">
      <pivotArea type="data" outline="0" fieldPosition="0">
        <references count="2">
          <reference field="4294967294" count="1" selected="0">
            <x v="0"/>
          </reference>
          <reference field="2" count="1" selected="0">
            <x v="2"/>
          </reference>
        </references>
      </pivotArea>
    </chartFormat>
    <chartFormat chart="4" format="3969">
      <pivotArea type="data" outline="0" fieldPosition="0">
        <references count="2">
          <reference field="4294967294" count="1" selected="0">
            <x v="0"/>
          </reference>
          <reference field="2" count="1" selected="0">
            <x v="231"/>
          </reference>
        </references>
      </pivotArea>
    </chartFormat>
    <chartFormat chart="4" format="3970">
      <pivotArea type="data" outline="0" fieldPosition="0">
        <references count="2">
          <reference field="4294967294" count="1" selected="0">
            <x v="0"/>
          </reference>
          <reference field="2" count="1" selected="0">
            <x v="125"/>
          </reference>
        </references>
      </pivotArea>
    </chartFormat>
    <chartFormat chart="4" format="3971">
      <pivotArea type="data" outline="0" fieldPosition="0">
        <references count="2">
          <reference field="4294967294" count="1" selected="0">
            <x v="0"/>
          </reference>
          <reference field="2" count="1" selected="0">
            <x v="81"/>
          </reference>
        </references>
      </pivotArea>
    </chartFormat>
    <chartFormat chart="4" format="3972">
      <pivotArea type="data" outline="0" fieldPosition="0">
        <references count="2">
          <reference field="4294967294" count="1" selected="0">
            <x v="0"/>
          </reference>
          <reference field="2" count="1" selected="0">
            <x v="16"/>
          </reference>
        </references>
      </pivotArea>
    </chartFormat>
    <chartFormat chart="4" format="3973">
      <pivotArea type="data" outline="0" fieldPosition="0">
        <references count="2">
          <reference field="4294967294" count="1" selected="0">
            <x v="0"/>
          </reference>
          <reference field="2" count="1" selected="0">
            <x v="153"/>
          </reference>
        </references>
      </pivotArea>
    </chartFormat>
    <chartFormat chart="4" format="3974">
      <pivotArea type="data" outline="0" fieldPosition="0">
        <references count="2">
          <reference field="4294967294" count="1" selected="0">
            <x v="0"/>
          </reference>
          <reference field="2" count="1" selected="0">
            <x v="95"/>
          </reference>
        </references>
      </pivotArea>
    </chartFormat>
    <chartFormat chart="4" format="3975">
      <pivotArea type="data" outline="0" fieldPosition="0">
        <references count="2">
          <reference field="4294967294" count="1" selected="0">
            <x v="0"/>
          </reference>
          <reference field="2" count="1" selected="0">
            <x v="9"/>
          </reference>
        </references>
      </pivotArea>
    </chartFormat>
    <chartFormat chart="4" format="3976">
      <pivotArea type="data" outline="0" fieldPosition="0">
        <references count="2">
          <reference field="4294967294" count="1" selected="0">
            <x v="0"/>
          </reference>
          <reference field="2" count="1" selected="0">
            <x v="315"/>
          </reference>
        </references>
      </pivotArea>
    </chartFormat>
    <chartFormat chart="4" format="3977">
      <pivotArea type="data" outline="0" fieldPosition="0">
        <references count="2">
          <reference field="4294967294" count="1" selected="0">
            <x v="0"/>
          </reference>
          <reference field="2" count="1" selected="0">
            <x v="524"/>
          </reference>
        </references>
      </pivotArea>
    </chartFormat>
    <chartFormat chart="4" format="3978">
      <pivotArea type="data" outline="0" fieldPosition="0">
        <references count="2">
          <reference field="4294967294" count="1" selected="0">
            <x v="0"/>
          </reference>
          <reference field="2" count="1" selected="0">
            <x v="324"/>
          </reference>
        </references>
      </pivotArea>
    </chartFormat>
    <chartFormat chart="4" format="3979">
      <pivotArea type="data" outline="0" fieldPosition="0">
        <references count="2">
          <reference field="4294967294" count="1" selected="0">
            <x v="0"/>
          </reference>
          <reference field="2" count="1" selected="0">
            <x v="334"/>
          </reference>
        </references>
      </pivotArea>
    </chartFormat>
    <chartFormat chart="4" format="3980">
      <pivotArea type="data" outline="0" fieldPosition="0">
        <references count="2">
          <reference field="4294967294" count="1" selected="0">
            <x v="0"/>
          </reference>
          <reference field="2" count="1" selected="0">
            <x v="444"/>
          </reference>
        </references>
      </pivotArea>
    </chartFormat>
    <chartFormat chart="4" format="3981">
      <pivotArea type="data" outline="0" fieldPosition="0">
        <references count="2">
          <reference field="4294967294" count="1" selected="0">
            <x v="0"/>
          </reference>
          <reference field="2" count="1" selected="0">
            <x v="335"/>
          </reference>
        </references>
      </pivotArea>
    </chartFormat>
    <chartFormat chart="4" format="3982">
      <pivotArea type="data" outline="0" fieldPosition="0">
        <references count="2">
          <reference field="4294967294" count="1" selected="0">
            <x v="0"/>
          </reference>
          <reference field="2" count="1" selected="0">
            <x v="283"/>
          </reference>
        </references>
      </pivotArea>
    </chartFormat>
    <chartFormat chart="4" format="3983">
      <pivotArea type="data" outline="0" fieldPosition="0">
        <references count="2">
          <reference field="4294967294" count="1" selected="0">
            <x v="0"/>
          </reference>
          <reference field="2" count="1" selected="0">
            <x v="336"/>
          </reference>
        </references>
      </pivotArea>
    </chartFormat>
    <chartFormat chart="4" format="3984">
      <pivotArea type="data" outline="0" fieldPosition="0">
        <references count="2">
          <reference field="4294967294" count="1" selected="0">
            <x v="0"/>
          </reference>
          <reference field="2" count="1" selected="0">
            <x v="508"/>
          </reference>
        </references>
      </pivotArea>
    </chartFormat>
    <chartFormat chart="4" format="3985">
      <pivotArea type="data" outline="0" fieldPosition="0">
        <references count="2">
          <reference field="4294967294" count="1" selected="0">
            <x v="0"/>
          </reference>
          <reference field="2" count="1" selected="0">
            <x v="337"/>
          </reference>
        </references>
      </pivotArea>
    </chartFormat>
    <chartFormat chart="4" format="3986">
      <pivotArea type="data" outline="0" fieldPosition="0">
        <references count="2">
          <reference field="4294967294" count="1" selected="0">
            <x v="0"/>
          </reference>
          <reference field="2" count="1" selected="0">
            <x v="540"/>
          </reference>
        </references>
      </pivotArea>
    </chartFormat>
    <chartFormat chart="4" format="3987">
      <pivotArea type="data" outline="0" fieldPosition="0">
        <references count="2">
          <reference field="4294967294" count="1" selected="0">
            <x v="0"/>
          </reference>
          <reference field="2" count="1" selected="0">
            <x v="338"/>
          </reference>
        </references>
      </pivotArea>
    </chartFormat>
    <chartFormat chart="4" format="3988">
      <pivotArea type="data" outline="0" fieldPosition="0">
        <references count="2">
          <reference field="4294967294" count="1" selected="0">
            <x v="0"/>
          </reference>
          <reference field="2" count="1" selected="0">
            <x v="313"/>
          </reference>
        </references>
      </pivotArea>
    </chartFormat>
    <chartFormat chart="4" format="3989">
      <pivotArea type="data" outline="0" fieldPosition="0">
        <references count="2">
          <reference field="4294967294" count="1" selected="0">
            <x v="0"/>
          </reference>
          <reference field="2" count="1" selected="0">
            <x v="339"/>
          </reference>
        </references>
      </pivotArea>
    </chartFormat>
    <chartFormat chart="4" format="3990">
      <pivotArea type="data" outline="0" fieldPosition="0">
        <references count="2">
          <reference field="4294967294" count="1" selected="0">
            <x v="0"/>
          </reference>
          <reference field="2" count="1" selected="0">
            <x v="468"/>
          </reference>
        </references>
      </pivotArea>
    </chartFormat>
    <chartFormat chart="4" format="3991">
      <pivotArea type="data" outline="0" fieldPosition="0">
        <references count="2">
          <reference field="4294967294" count="1" selected="0">
            <x v="0"/>
          </reference>
          <reference field="2" count="1" selected="0">
            <x v="287"/>
          </reference>
        </references>
      </pivotArea>
    </chartFormat>
    <chartFormat chart="4" format="3992">
      <pivotArea type="data" outline="0" fieldPosition="0">
        <references count="2">
          <reference field="4294967294" count="1" selected="0">
            <x v="0"/>
          </reference>
          <reference field="2" count="1" selected="0">
            <x v="484"/>
          </reference>
        </references>
      </pivotArea>
    </chartFormat>
    <chartFormat chart="4" format="3993">
      <pivotArea type="data" outline="0" fieldPosition="0">
        <references count="2">
          <reference field="4294967294" count="1" selected="0">
            <x v="0"/>
          </reference>
          <reference field="2" count="1" selected="0">
            <x v="341"/>
          </reference>
        </references>
      </pivotArea>
    </chartFormat>
    <chartFormat chart="4" format="3994">
      <pivotArea type="data" outline="0" fieldPosition="0">
        <references count="2">
          <reference field="4294967294" count="1" selected="0">
            <x v="0"/>
          </reference>
          <reference field="2" count="1" selected="0">
            <x v="500"/>
          </reference>
        </references>
      </pivotArea>
    </chartFormat>
    <chartFormat chart="4" format="3995">
      <pivotArea type="data" outline="0" fieldPosition="0">
        <references count="2">
          <reference field="4294967294" count="1" selected="0">
            <x v="0"/>
          </reference>
          <reference field="2" count="1" selected="0">
            <x v="342"/>
          </reference>
        </references>
      </pivotArea>
    </chartFormat>
    <chartFormat chart="4" format="3996">
      <pivotArea type="data" outline="0" fieldPosition="0">
        <references count="2">
          <reference field="4294967294" count="1" selected="0">
            <x v="0"/>
          </reference>
          <reference field="2" count="1" selected="0">
            <x v="516"/>
          </reference>
        </references>
      </pivotArea>
    </chartFormat>
    <chartFormat chart="4" format="3997">
      <pivotArea type="data" outline="0" fieldPosition="0">
        <references count="2">
          <reference field="4294967294" count="1" selected="0">
            <x v="0"/>
          </reference>
          <reference field="2" count="1" selected="0">
            <x v="343"/>
          </reference>
        </references>
      </pivotArea>
    </chartFormat>
    <chartFormat chart="4" format="3998">
      <pivotArea type="data" outline="0" fieldPosition="0">
        <references count="2">
          <reference field="4294967294" count="1" selected="0">
            <x v="0"/>
          </reference>
          <reference field="2" count="1" selected="0">
            <x v="532"/>
          </reference>
        </references>
      </pivotArea>
    </chartFormat>
    <chartFormat chart="4" format="3999">
      <pivotArea type="data" outline="0" fieldPosition="0">
        <references count="2">
          <reference field="4294967294" count="1" selected="0">
            <x v="0"/>
          </reference>
          <reference field="2" count="1" selected="0">
            <x v="344"/>
          </reference>
        </references>
      </pivotArea>
    </chartFormat>
    <chartFormat chart="4" format="4000">
      <pivotArea type="data" outline="0" fieldPosition="0">
        <references count="2">
          <reference field="4294967294" count="1" selected="0">
            <x v="0"/>
          </reference>
          <reference field="2" count="1" selected="0">
            <x v="548"/>
          </reference>
        </references>
      </pivotArea>
    </chartFormat>
    <chartFormat chart="4" format="4001">
      <pivotArea type="data" outline="0" fieldPosition="0">
        <references count="2">
          <reference field="4294967294" count="1" selected="0">
            <x v="0"/>
          </reference>
          <reference field="2" count="1" selected="0">
            <x v="345"/>
          </reference>
        </references>
      </pivotArea>
    </chartFormat>
    <chartFormat chart="4" format="4002">
      <pivotArea type="data" outline="0" fieldPosition="0">
        <references count="2">
          <reference field="4294967294" count="1" selected="0">
            <x v="0"/>
          </reference>
          <reference field="2" count="1" selected="0">
            <x v="448"/>
          </reference>
        </references>
      </pivotArea>
    </chartFormat>
    <chartFormat chart="4" format="4003">
      <pivotArea type="data" outline="0" fieldPosition="0">
        <references count="2">
          <reference field="4294967294" count="1" selected="0">
            <x v="0"/>
          </reference>
          <reference field="2" count="1" selected="0">
            <x v="346"/>
          </reference>
        </references>
      </pivotArea>
    </chartFormat>
    <chartFormat chart="4" format="4004">
      <pivotArea type="data" outline="0" fieldPosition="0">
        <references count="2">
          <reference field="4294967294" count="1" selected="0">
            <x v="0"/>
          </reference>
          <reference field="2" count="1" selected="0">
            <x v="456"/>
          </reference>
        </references>
      </pivotArea>
    </chartFormat>
    <chartFormat chart="4" format="4005">
      <pivotArea type="data" outline="0" fieldPosition="0">
        <references count="2">
          <reference field="4294967294" count="1" selected="0">
            <x v="0"/>
          </reference>
          <reference field="2" count="1" selected="0">
            <x v="347"/>
          </reference>
        </references>
      </pivotArea>
    </chartFormat>
    <chartFormat chart="4" format="4006">
      <pivotArea type="data" outline="0" fieldPosition="0">
        <references count="2">
          <reference field="4294967294" count="1" selected="0">
            <x v="0"/>
          </reference>
          <reference field="2" count="1" selected="0">
            <x v="464"/>
          </reference>
        </references>
      </pivotArea>
    </chartFormat>
    <chartFormat chart="4" format="4007">
      <pivotArea type="data" outline="0" fieldPosition="0">
        <references count="2">
          <reference field="4294967294" count="1" selected="0">
            <x v="0"/>
          </reference>
          <reference field="2" count="1" selected="0">
            <x v="348"/>
          </reference>
        </references>
      </pivotArea>
    </chartFormat>
    <chartFormat chart="4" format="4008">
      <pivotArea type="data" outline="0" fieldPosition="0">
        <references count="2">
          <reference field="4294967294" count="1" selected="0">
            <x v="0"/>
          </reference>
          <reference field="2" count="1" selected="0">
            <x v="472"/>
          </reference>
        </references>
      </pivotArea>
    </chartFormat>
    <chartFormat chart="4" format="4009">
      <pivotArea type="data" outline="0" fieldPosition="0">
        <references count="2">
          <reference field="4294967294" count="1" selected="0">
            <x v="0"/>
          </reference>
          <reference field="2" count="1" selected="0">
            <x v="349"/>
          </reference>
        </references>
      </pivotArea>
    </chartFormat>
    <chartFormat chart="4" format="4010">
      <pivotArea type="data" outline="0" fieldPosition="0">
        <references count="2">
          <reference field="4294967294" count="1" selected="0">
            <x v="0"/>
          </reference>
          <reference field="2" count="1" selected="0">
            <x v="480"/>
          </reference>
        </references>
      </pivotArea>
    </chartFormat>
    <chartFormat chart="4" format="4011">
      <pivotArea type="data" outline="0" fieldPosition="0">
        <references count="2">
          <reference field="4294967294" count="1" selected="0">
            <x v="0"/>
          </reference>
          <reference field="2" count="1" selected="0">
            <x v="350"/>
          </reference>
        </references>
      </pivotArea>
    </chartFormat>
    <chartFormat chart="4" format="4012">
      <pivotArea type="data" outline="0" fieldPosition="0">
        <references count="2">
          <reference field="4294967294" count="1" selected="0">
            <x v="0"/>
          </reference>
          <reference field="2" count="1" selected="0">
            <x v="488"/>
          </reference>
        </references>
      </pivotArea>
    </chartFormat>
    <chartFormat chart="4" format="4013">
      <pivotArea type="data" outline="0" fieldPosition="0">
        <references count="2">
          <reference field="4294967294" count="1" selected="0">
            <x v="0"/>
          </reference>
          <reference field="2" count="1" selected="0">
            <x v="351"/>
          </reference>
        </references>
      </pivotArea>
    </chartFormat>
    <chartFormat chart="4" format="4014">
      <pivotArea type="data" outline="0" fieldPosition="0">
        <references count="2">
          <reference field="4294967294" count="1" selected="0">
            <x v="0"/>
          </reference>
          <reference field="2" count="1" selected="0">
            <x v="496"/>
          </reference>
        </references>
      </pivotArea>
    </chartFormat>
    <chartFormat chart="4" format="4015">
      <pivotArea type="data" outline="0" fieldPosition="0">
        <references count="2">
          <reference field="4294967294" count="1" selected="0">
            <x v="0"/>
          </reference>
          <reference field="2" count="1" selected="0">
            <x v="352"/>
          </reference>
        </references>
      </pivotArea>
    </chartFormat>
    <chartFormat chart="4" format="4016">
      <pivotArea type="data" outline="0" fieldPosition="0">
        <references count="2">
          <reference field="4294967294" count="1" selected="0">
            <x v="0"/>
          </reference>
          <reference field="2" count="1" selected="0">
            <x v="504"/>
          </reference>
        </references>
      </pivotArea>
    </chartFormat>
    <chartFormat chart="4" format="4017">
      <pivotArea type="data" outline="0" fieldPosition="0">
        <references count="2">
          <reference field="4294967294" count="1" selected="0">
            <x v="0"/>
          </reference>
          <reference field="2" count="1" selected="0">
            <x v="353"/>
          </reference>
        </references>
      </pivotArea>
    </chartFormat>
    <chartFormat chart="4" format="4018">
      <pivotArea type="data" outline="0" fieldPosition="0">
        <references count="2">
          <reference field="4294967294" count="1" selected="0">
            <x v="0"/>
          </reference>
          <reference field="2" count="1" selected="0">
            <x v="512"/>
          </reference>
        </references>
      </pivotArea>
    </chartFormat>
    <chartFormat chart="4" format="4019">
      <pivotArea type="data" outline="0" fieldPosition="0">
        <references count="2">
          <reference field="4294967294" count="1" selected="0">
            <x v="0"/>
          </reference>
          <reference field="2" count="1" selected="0">
            <x v="288"/>
          </reference>
        </references>
      </pivotArea>
    </chartFormat>
    <chartFormat chart="4" format="4020">
      <pivotArea type="data" outline="0" fieldPosition="0">
        <references count="2">
          <reference field="4294967294" count="1" selected="0">
            <x v="0"/>
          </reference>
          <reference field="2" count="1" selected="0">
            <x v="520"/>
          </reference>
        </references>
      </pivotArea>
    </chartFormat>
    <chartFormat chart="4" format="4021">
      <pivotArea type="data" outline="0" fieldPosition="0">
        <references count="2">
          <reference field="4294967294" count="1" selected="0">
            <x v="0"/>
          </reference>
          <reference field="2" count="1" selected="0">
            <x v="355"/>
          </reference>
        </references>
      </pivotArea>
    </chartFormat>
    <chartFormat chart="4" format="4022">
      <pivotArea type="data" outline="0" fieldPosition="0">
        <references count="2">
          <reference field="4294967294" count="1" selected="0">
            <x v="0"/>
          </reference>
          <reference field="2" count="1" selected="0">
            <x v="329"/>
          </reference>
        </references>
      </pivotArea>
    </chartFormat>
    <chartFormat chart="4" format="4023">
      <pivotArea type="data" outline="0" fieldPosition="0">
        <references count="2">
          <reference field="4294967294" count="1" selected="0">
            <x v="0"/>
          </reference>
          <reference field="2" count="1" selected="0">
            <x v="356"/>
          </reference>
        </references>
      </pivotArea>
    </chartFormat>
    <chartFormat chart="4" format="4024">
      <pivotArea type="data" outline="0" fieldPosition="0">
        <references count="2">
          <reference field="4294967294" count="1" selected="0">
            <x v="0"/>
          </reference>
          <reference field="2" count="1" selected="0">
            <x v="536"/>
          </reference>
        </references>
      </pivotArea>
    </chartFormat>
    <chartFormat chart="4" format="4025">
      <pivotArea type="data" outline="0" fieldPosition="0">
        <references count="2">
          <reference field="4294967294" count="1" selected="0">
            <x v="0"/>
          </reference>
          <reference field="2" count="1" selected="0">
            <x v="357"/>
          </reference>
        </references>
      </pivotArea>
    </chartFormat>
    <chartFormat chart="4" format="4026">
      <pivotArea type="data" outline="0" fieldPosition="0">
        <references count="2">
          <reference field="4294967294" count="1" selected="0">
            <x v="0"/>
          </reference>
          <reference field="2" count="1" selected="0">
            <x v="544"/>
          </reference>
        </references>
      </pivotArea>
    </chartFormat>
    <chartFormat chart="4" format="4027">
      <pivotArea type="data" outline="0" fieldPosition="0">
        <references count="2">
          <reference field="4294967294" count="1" selected="0">
            <x v="0"/>
          </reference>
          <reference field="2" count="1" selected="0">
            <x v="279"/>
          </reference>
        </references>
      </pivotArea>
    </chartFormat>
    <chartFormat chart="4" format="4028">
      <pivotArea type="data" outline="0" fieldPosition="0">
        <references count="2">
          <reference field="4294967294" count="1" selected="0">
            <x v="0"/>
          </reference>
          <reference field="2" count="1" selected="0">
            <x v="442"/>
          </reference>
        </references>
      </pivotArea>
    </chartFormat>
    <chartFormat chart="4" format="4029">
      <pivotArea type="data" outline="0" fieldPosition="0">
        <references count="2">
          <reference field="4294967294" count="1" selected="0">
            <x v="0"/>
          </reference>
          <reference field="2" count="1" selected="0">
            <x v="359"/>
          </reference>
        </references>
      </pivotArea>
    </chartFormat>
    <chartFormat chart="4" format="4030">
      <pivotArea type="data" outline="0" fieldPosition="0">
        <references count="2">
          <reference field="4294967294" count="1" selected="0">
            <x v="0"/>
          </reference>
          <reference field="2" count="1" selected="0">
            <x v="446"/>
          </reference>
        </references>
      </pivotArea>
    </chartFormat>
    <chartFormat chart="4" format="4031">
      <pivotArea type="data" outline="0" fieldPosition="0">
        <references count="2">
          <reference field="4294967294" count="1" selected="0">
            <x v="0"/>
          </reference>
          <reference field="2" count="1" selected="0">
            <x v="360"/>
          </reference>
        </references>
      </pivotArea>
    </chartFormat>
    <chartFormat chart="4" format="4032">
      <pivotArea type="data" outline="0" fieldPosition="0">
        <references count="2">
          <reference field="4294967294" count="1" selected="0">
            <x v="0"/>
          </reference>
          <reference field="2" count="1" selected="0">
            <x v="450"/>
          </reference>
        </references>
      </pivotArea>
    </chartFormat>
    <chartFormat chart="4" format="4033">
      <pivotArea type="data" outline="0" fieldPosition="0">
        <references count="2">
          <reference field="4294967294" count="1" selected="0">
            <x v="0"/>
          </reference>
          <reference field="2" count="1" selected="0">
            <x v="361"/>
          </reference>
        </references>
      </pivotArea>
    </chartFormat>
    <chartFormat chart="4" format="4034">
      <pivotArea type="data" outline="0" fieldPosition="0">
        <references count="2">
          <reference field="4294967294" count="1" selected="0">
            <x v="0"/>
          </reference>
          <reference field="2" count="1" selected="0">
            <x v="454"/>
          </reference>
        </references>
      </pivotArea>
    </chartFormat>
    <chartFormat chart="4" format="4035">
      <pivotArea type="data" outline="0" fieldPosition="0">
        <references count="2">
          <reference field="4294967294" count="1" selected="0">
            <x v="0"/>
          </reference>
          <reference field="2" count="1" selected="0">
            <x v="362"/>
          </reference>
        </references>
      </pivotArea>
    </chartFormat>
    <chartFormat chart="4" format="4036">
      <pivotArea type="data" outline="0" fieldPosition="0">
        <references count="2">
          <reference field="4294967294" count="1" selected="0">
            <x v="0"/>
          </reference>
          <reference field="2" count="1" selected="0">
            <x v="314"/>
          </reference>
        </references>
      </pivotArea>
    </chartFormat>
    <chartFormat chart="4" format="4037">
      <pivotArea type="data" outline="0" fieldPosition="0">
        <references count="2">
          <reference field="4294967294" count="1" selected="0">
            <x v="0"/>
          </reference>
          <reference field="2" count="1" selected="0">
            <x v="363"/>
          </reference>
        </references>
      </pivotArea>
    </chartFormat>
    <chartFormat chart="4" format="4038">
      <pivotArea type="data" outline="0" fieldPosition="0">
        <references count="2">
          <reference field="4294967294" count="1" selected="0">
            <x v="0"/>
          </reference>
          <reference field="2" count="1" selected="0">
            <x v="462"/>
          </reference>
        </references>
      </pivotArea>
    </chartFormat>
    <chartFormat chart="4" format="4039">
      <pivotArea type="data" outline="0" fieldPosition="0">
        <references count="2">
          <reference field="4294967294" count="1" selected="0">
            <x v="0"/>
          </reference>
          <reference field="2" count="1" selected="0">
            <x v="364"/>
          </reference>
        </references>
      </pivotArea>
    </chartFormat>
    <chartFormat chart="4" format="4040">
      <pivotArea type="data" outline="0" fieldPosition="0">
        <references count="2">
          <reference field="4294967294" count="1" selected="0">
            <x v="0"/>
          </reference>
          <reference field="2" count="1" selected="0">
            <x v="466"/>
          </reference>
        </references>
      </pivotArea>
    </chartFormat>
    <chartFormat chart="4" format="4041">
      <pivotArea type="data" outline="0" fieldPosition="0">
        <references count="2">
          <reference field="4294967294" count="1" selected="0">
            <x v="0"/>
          </reference>
          <reference field="2" count="1" selected="0">
            <x v="365"/>
          </reference>
        </references>
      </pivotArea>
    </chartFormat>
    <chartFormat chart="4" format="4042">
      <pivotArea type="data" outline="0" fieldPosition="0">
        <references count="2">
          <reference field="4294967294" count="1" selected="0">
            <x v="0"/>
          </reference>
          <reference field="2" count="1" selected="0">
            <x v="470"/>
          </reference>
        </references>
      </pivotArea>
    </chartFormat>
    <chartFormat chart="4" format="4043">
      <pivotArea type="data" outline="0" fieldPosition="0">
        <references count="2">
          <reference field="4294967294" count="1" selected="0">
            <x v="0"/>
          </reference>
          <reference field="2" count="1" selected="0">
            <x v="290"/>
          </reference>
        </references>
      </pivotArea>
    </chartFormat>
    <chartFormat chart="4" format="4044">
      <pivotArea type="data" outline="0" fieldPosition="0">
        <references count="2">
          <reference field="4294967294" count="1" selected="0">
            <x v="0"/>
          </reference>
          <reference field="2" count="1" selected="0">
            <x v="474"/>
          </reference>
        </references>
      </pivotArea>
    </chartFormat>
    <chartFormat chart="4" format="4045">
      <pivotArea type="data" outline="0" fieldPosition="0">
        <references count="2">
          <reference field="4294967294" count="1" selected="0">
            <x v="0"/>
          </reference>
          <reference field="2" count="1" selected="0">
            <x v="367"/>
          </reference>
        </references>
      </pivotArea>
    </chartFormat>
    <chartFormat chart="4" format="4046">
      <pivotArea type="data" outline="0" fieldPosition="0">
        <references count="2">
          <reference field="4294967294" count="1" selected="0">
            <x v="0"/>
          </reference>
          <reference field="2" count="1" selected="0">
            <x v="319"/>
          </reference>
        </references>
      </pivotArea>
    </chartFormat>
    <chartFormat chart="4" format="4047">
      <pivotArea type="data" outline="0" fieldPosition="0">
        <references count="2">
          <reference field="4294967294" count="1" selected="0">
            <x v="0"/>
          </reference>
          <reference field="2" count="1" selected="0">
            <x v="291"/>
          </reference>
        </references>
      </pivotArea>
    </chartFormat>
    <chartFormat chart="4" format="4048">
      <pivotArea type="data" outline="0" fieldPosition="0">
        <references count="2">
          <reference field="4294967294" count="1" selected="0">
            <x v="0"/>
          </reference>
          <reference field="2" count="1" selected="0">
            <x v="321"/>
          </reference>
        </references>
      </pivotArea>
    </chartFormat>
    <chartFormat chart="4" format="4049">
      <pivotArea type="data" outline="0" fieldPosition="0">
        <references count="2">
          <reference field="4294967294" count="1" selected="0">
            <x v="0"/>
          </reference>
          <reference field="2" count="1" selected="0">
            <x v="369"/>
          </reference>
        </references>
      </pivotArea>
    </chartFormat>
    <chartFormat chart="4" format="4050">
      <pivotArea type="data" outline="0" fieldPosition="0">
        <references count="2">
          <reference field="4294967294" count="1" selected="0">
            <x v="0"/>
          </reference>
          <reference field="2" count="1" selected="0">
            <x v="486"/>
          </reference>
        </references>
      </pivotArea>
    </chartFormat>
    <chartFormat chart="4" format="4051">
      <pivotArea type="data" outline="0" fieldPosition="0">
        <references count="2">
          <reference field="4294967294" count="1" selected="0">
            <x v="0"/>
          </reference>
          <reference field="2" count="1" selected="0">
            <x v="370"/>
          </reference>
        </references>
      </pivotArea>
    </chartFormat>
    <chartFormat chart="4" format="4052">
      <pivotArea type="data" outline="0" fieldPosition="0">
        <references count="2">
          <reference field="4294967294" count="1" selected="0">
            <x v="0"/>
          </reference>
          <reference field="2" count="1" selected="0">
            <x v="323"/>
          </reference>
        </references>
      </pivotArea>
    </chartFormat>
    <chartFormat chart="4" format="4053">
      <pivotArea type="data" outline="0" fieldPosition="0">
        <references count="2">
          <reference field="4294967294" count="1" selected="0">
            <x v="0"/>
          </reference>
          <reference field="2" count="1" selected="0">
            <x v="371"/>
          </reference>
        </references>
      </pivotArea>
    </chartFormat>
    <chartFormat chart="4" format="4054">
      <pivotArea type="data" outline="0" fieldPosition="0">
        <references count="2">
          <reference field="4294967294" count="1" selected="0">
            <x v="0"/>
          </reference>
          <reference field="2" count="1" selected="0">
            <x v="494"/>
          </reference>
        </references>
      </pivotArea>
    </chartFormat>
    <chartFormat chart="4" format="4055">
      <pivotArea type="data" outline="0" fieldPosition="0">
        <references count="2">
          <reference field="4294967294" count="1" selected="0">
            <x v="0"/>
          </reference>
          <reference field="2" count="1" selected="0">
            <x v="372"/>
          </reference>
        </references>
      </pivotArea>
    </chartFormat>
    <chartFormat chart="4" format="4056">
      <pivotArea type="data" outline="0" fieldPosition="0">
        <references count="2">
          <reference field="4294967294" count="1" selected="0">
            <x v="0"/>
          </reference>
          <reference field="2" count="1" selected="0">
            <x v="498"/>
          </reference>
        </references>
      </pivotArea>
    </chartFormat>
    <chartFormat chart="4" format="4057">
      <pivotArea type="data" outline="0" fieldPosition="0">
        <references count="2">
          <reference field="4294967294" count="1" selected="0">
            <x v="0"/>
          </reference>
          <reference field="2" count="1" selected="0">
            <x v="373"/>
          </reference>
        </references>
      </pivotArea>
    </chartFormat>
    <chartFormat chart="4" format="4058">
      <pivotArea type="data" outline="0" fieldPosition="0">
        <references count="2">
          <reference field="4294967294" count="1" selected="0">
            <x v="0"/>
          </reference>
          <reference field="2" count="1" selected="0">
            <x v="502"/>
          </reference>
        </references>
      </pivotArea>
    </chartFormat>
    <chartFormat chart="4" format="4059">
      <pivotArea type="data" outline="0" fieldPosition="0">
        <references count="2">
          <reference field="4294967294" count="1" selected="0">
            <x v="0"/>
          </reference>
          <reference field="2" count="1" selected="0">
            <x v="374"/>
          </reference>
        </references>
      </pivotArea>
    </chartFormat>
    <chartFormat chart="4" format="4060">
      <pivotArea type="data" outline="0" fieldPosition="0">
        <references count="2">
          <reference field="4294967294" count="1" selected="0">
            <x v="0"/>
          </reference>
          <reference field="2" count="1" selected="0">
            <x v="506"/>
          </reference>
        </references>
      </pivotArea>
    </chartFormat>
    <chartFormat chart="4" format="4061">
      <pivotArea type="data" outline="0" fieldPosition="0">
        <references count="2">
          <reference field="4294967294" count="1" selected="0">
            <x v="0"/>
          </reference>
          <reference field="2" count="1" selected="0">
            <x v="375"/>
          </reference>
        </references>
      </pivotArea>
    </chartFormat>
    <chartFormat chart="4" format="4062">
      <pivotArea type="data" outline="0" fieldPosition="0">
        <references count="2">
          <reference field="4294967294" count="1" selected="0">
            <x v="0"/>
          </reference>
          <reference field="2" count="1" selected="0">
            <x v="510"/>
          </reference>
        </references>
      </pivotArea>
    </chartFormat>
    <chartFormat chart="4" format="4063">
      <pivotArea type="data" outline="0" fieldPosition="0">
        <references count="2">
          <reference field="4294967294" count="1" selected="0">
            <x v="0"/>
          </reference>
          <reference field="2" count="1" selected="0">
            <x v="376"/>
          </reference>
        </references>
      </pivotArea>
    </chartFormat>
    <chartFormat chart="4" format="4064">
      <pivotArea type="data" outline="0" fieldPosition="0">
        <references count="2">
          <reference field="4294967294" count="1" selected="0">
            <x v="0"/>
          </reference>
          <reference field="2" count="1" selected="0">
            <x v="514"/>
          </reference>
        </references>
      </pivotArea>
    </chartFormat>
    <chartFormat chart="4" format="4065">
      <pivotArea type="data" outline="0" fieldPosition="0">
        <references count="2">
          <reference field="4294967294" count="1" selected="0">
            <x v="0"/>
          </reference>
          <reference field="2" count="1" selected="0">
            <x v="377"/>
          </reference>
        </references>
      </pivotArea>
    </chartFormat>
    <chartFormat chart="4" format="4066">
      <pivotArea type="data" outline="0" fieldPosition="0">
        <references count="2">
          <reference field="4294967294" count="1" selected="0">
            <x v="0"/>
          </reference>
          <reference field="2" count="1" selected="0">
            <x v="326"/>
          </reference>
        </references>
      </pivotArea>
    </chartFormat>
    <chartFormat chart="4" format="4067">
      <pivotArea type="data" outline="0" fieldPosition="0">
        <references count="2">
          <reference field="4294967294" count="1" selected="0">
            <x v="0"/>
          </reference>
          <reference field="2" count="1" selected="0">
            <x v="292"/>
          </reference>
        </references>
      </pivotArea>
    </chartFormat>
    <chartFormat chart="4" format="4068">
      <pivotArea type="data" outline="0" fieldPosition="0">
        <references count="2">
          <reference field="4294967294" count="1" selected="0">
            <x v="0"/>
          </reference>
          <reference field="2" count="1" selected="0">
            <x v="522"/>
          </reference>
        </references>
      </pivotArea>
    </chartFormat>
    <chartFormat chart="4" format="4069">
      <pivotArea type="data" outline="0" fieldPosition="0">
        <references count="2">
          <reference field="4294967294" count="1" selected="0">
            <x v="0"/>
          </reference>
          <reference field="2" count="1" selected="0">
            <x v="379"/>
          </reference>
        </references>
      </pivotArea>
    </chartFormat>
    <chartFormat chart="4" format="4070">
      <pivotArea type="data" outline="0" fieldPosition="0">
        <references count="2">
          <reference field="4294967294" count="1" selected="0">
            <x v="0"/>
          </reference>
          <reference field="2" count="1" selected="0">
            <x v="526"/>
          </reference>
        </references>
      </pivotArea>
    </chartFormat>
    <chartFormat chart="4" format="4071">
      <pivotArea type="data" outline="0" fieldPosition="0">
        <references count="2">
          <reference field="4294967294" count="1" selected="0">
            <x v="0"/>
          </reference>
          <reference field="2" count="1" selected="0">
            <x v="380"/>
          </reference>
        </references>
      </pivotArea>
    </chartFormat>
    <chartFormat chart="4" format="4072">
      <pivotArea type="data" outline="0" fieldPosition="0">
        <references count="2">
          <reference field="4294967294" count="1" selected="0">
            <x v="0"/>
          </reference>
          <reference field="2" count="1" selected="0">
            <x v="286"/>
          </reference>
        </references>
      </pivotArea>
    </chartFormat>
    <chartFormat chart="4" format="4073">
      <pivotArea type="data" outline="0" fieldPosition="0">
        <references count="2">
          <reference field="4294967294" count="1" selected="0">
            <x v="0"/>
          </reference>
          <reference field="2" count="1" selected="0">
            <x v="381"/>
          </reference>
        </references>
      </pivotArea>
    </chartFormat>
    <chartFormat chart="4" format="4074">
      <pivotArea type="data" outline="0" fieldPosition="0">
        <references count="2">
          <reference field="4294967294" count="1" selected="0">
            <x v="0"/>
          </reference>
          <reference field="2" count="1" selected="0">
            <x v="534"/>
          </reference>
        </references>
      </pivotArea>
    </chartFormat>
    <chartFormat chart="4" format="4075">
      <pivotArea type="data" outline="0" fieldPosition="0">
        <references count="2">
          <reference field="4294967294" count="1" selected="0">
            <x v="0"/>
          </reference>
          <reference field="2" count="1" selected="0">
            <x v="293"/>
          </reference>
        </references>
      </pivotArea>
    </chartFormat>
    <chartFormat chart="4" format="4076">
      <pivotArea type="data" outline="0" fieldPosition="0">
        <references count="2">
          <reference field="4294967294" count="1" selected="0">
            <x v="0"/>
          </reference>
          <reference field="2" count="1" selected="0">
            <x v="538"/>
          </reference>
        </references>
      </pivotArea>
    </chartFormat>
    <chartFormat chart="4" format="4077">
      <pivotArea type="data" outline="0" fieldPosition="0">
        <references count="2">
          <reference field="4294967294" count="1" selected="0">
            <x v="0"/>
          </reference>
          <reference field="2" count="1" selected="0">
            <x v="383"/>
          </reference>
        </references>
      </pivotArea>
    </chartFormat>
    <chartFormat chart="4" format="4078">
      <pivotArea type="data" outline="0" fieldPosition="0">
        <references count="2">
          <reference field="4294967294" count="1" selected="0">
            <x v="0"/>
          </reference>
          <reference field="2" count="1" selected="0">
            <x v="542"/>
          </reference>
        </references>
      </pivotArea>
    </chartFormat>
    <chartFormat chart="4" format="4079">
      <pivotArea type="data" outline="0" fieldPosition="0">
        <references count="2">
          <reference field="4294967294" count="1" selected="0">
            <x v="0"/>
          </reference>
          <reference field="2" count="1" selected="0">
            <x v="384"/>
          </reference>
        </references>
      </pivotArea>
    </chartFormat>
    <chartFormat chart="4" format="4080">
      <pivotArea type="data" outline="0" fieldPosition="0">
        <references count="2">
          <reference field="4294967294" count="1" selected="0">
            <x v="0"/>
          </reference>
          <reference field="2" count="1" selected="0">
            <x v="332"/>
          </reference>
        </references>
      </pivotArea>
    </chartFormat>
    <chartFormat chart="4" format="4081">
      <pivotArea type="data" outline="0" fieldPosition="0">
        <references count="2">
          <reference field="4294967294" count="1" selected="0">
            <x v="0"/>
          </reference>
          <reference field="2" count="1" selected="0">
            <x v="294"/>
          </reference>
        </references>
      </pivotArea>
    </chartFormat>
    <chartFormat chart="4" format="4082">
      <pivotArea type="data" outline="0" fieldPosition="0">
        <references count="2">
          <reference field="4294967294" count="1" selected="0">
            <x v="0"/>
          </reference>
          <reference field="2" count="1" selected="0">
            <x v="550"/>
          </reference>
        </references>
      </pivotArea>
    </chartFormat>
    <chartFormat chart="4" format="4083">
      <pivotArea type="data" outline="0" fieldPosition="0">
        <references count="2">
          <reference field="4294967294" count="1" selected="0">
            <x v="0"/>
          </reference>
          <reference field="2" count="1" selected="0">
            <x v="386"/>
          </reference>
        </references>
      </pivotArea>
    </chartFormat>
    <chartFormat chart="4" format="4084">
      <pivotArea type="data" outline="0" fieldPosition="0">
        <references count="2">
          <reference field="4294967294" count="1" selected="0">
            <x v="0"/>
          </reference>
          <reference field="2" count="1" selected="0">
            <x v="443"/>
          </reference>
        </references>
      </pivotArea>
    </chartFormat>
    <chartFormat chart="4" format="4085">
      <pivotArea type="data" outline="0" fieldPosition="0">
        <references count="2">
          <reference field="4294967294" count="1" selected="0">
            <x v="0"/>
          </reference>
          <reference field="2" count="1" selected="0">
            <x v="387"/>
          </reference>
        </references>
      </pivotArea>
    </chartFormat>
    <chartFormat chart="4" format="4086">
      <pivotArea type="data" outline="0" fieldPosition="0">
        <references count="2">
          <reference field="4294967294" count="1" selected="0">
            <x v="0"/>
          </reference>
          <reference field="2" count="1" selected="0">
            <x v="445"/>
          </reference>
        </references>
      </pivotArea>
    </chartFormat>
    <chartFormat chart="4" format="4087">
      <pivotArea type="data" outline="0" fieldPosition="0">
        <references count="2">
          <reference field="4294967294" count="1" selected="0">
            <x v="0"/>
          </reference>
          <reference field="2" count="1" selected="0">
            <x v="280"/>
          </reference>
        </references>
      </pivotArea>
    </chartFormat>
    <chartFormat chart="4" format="4088">
      <pivotArea type="data" outline="0" fieldPosition="0">
        <references count="2">
          <reference field="4294967294" count="1" selected="0">
            <x v="0"/>
          </reference>
          <reference field="2" count="1" selected="0">
            <x v="447"/>
          </reference>
        </references>
      </pivotArea>
    </chartFormat>
    <chartFormat chart="4" format="4089">
      <pivotArea type="data" outline="0" fieldPosition="0">
        <references count="2">
          <reference field="4294967294" count="1" selected="0">
            <x v="0"/>
          </reference>
          <reference field="2" count="1" selected="0">
            <x v="296"/>
          </reference>
        </references>
      </pivotArea>
    </chartFormat>
    <chartFormat chart="4" format="4090">
      <pivotArea type="data" outline="0" fieldPosition="0">
        <references count="2">
          <reference field="4294967294" count="1" selected="0">
            <x v="0"/>
          </reference>
          <reference field="2" count="1" selected="0">
            <x v="449"/>
          </reference>
        </references>
      </pivotArea>
    </chartFormat>
    <chartFormat chart="4" format="4091">
      <pivotArea type="data" outline="0" fieldPosition="0">
        <references count="2">
          <reference field="4294967294" count="1" selected="0">
            <x v="0"/>
          </reference>
          <reference field="2" count="1" selected="0">
            <x v="390"/>
          </reference>
        </references>
      </pivotArea>
    </chartFormat>
    <chartFormat chart="4" format="4092">
      <pivotArea type="data" outline="0" fieldPosition="0">
        <references count="2">
          <reference field="4294967294" count="1" selected="0">
            <x v="0"/>
          </reference>
          <reference field="2" count="1" selected="0">
            <x v="451"/>
          </reference>
        </references>
      </pivotArea>
    </chartFormat>
    <chartFormat chart="4" format="4093">
      <pivotArea type="data" outline="0" fieldPosition="0">
        <references count="2">
          <reference field="4294967294" count="1" selected="0">
            <x v="0"/>
          </reference>
          <reference field="2" count="1" selected="0">
            <x v="391"/>
          </reference>
        </references>
      </pivotArea>
    </chartFormat>
    <chartFormat chart="4" format="4094">
      <pivotArea type="data" outline="0" fieldPosition="0">
        <references count="2">
          <reference field="4294967294" count="1" selected="0">
            <x v="0"/>
          </reference>
          <reference field="2" count="1" selected="0">
            <x v="453"/>
          </reference>
        </references>
      </pivotArea>
    </chartFormat>
    <chartFormat chart="4" format="4095">
      <pivotArea type="data" outline="0" fieldPosition="0">
        <references count="2">
          <reference field="4294967294" count="1" selected="0">
            <x v="0"/>
          </reference>
          <reference field="2" count="1" selected="0">
            <x v="297"/>
          </reference>
        </references>
      </pivotArea>
    </chartFormat>
    <chartFormat chart="4" format="4096">
      <pivotArea type="data" outline="0" fieldPosition="0">
        <references count="2">
          <reference field="4294967294" count="1" selected="0">
            <x v="0"/>
          </reference>
          <reference field="2" count="1" selected="0">
            <x v="455"/>
          </reference>
        </references>
      </pivotArea>
    </chartFormat>
    <chartFormat chart="4" format="4097">
      <pivotArea type="data" outline="0" fieldPosition="0">
        <references count="2">
          <reference field="4294967294" count="1" selected="0">
            <x v="0"/>
          </reference>
          <reference field="2" count="1" selected="0">
            <x v="393"/>
          </reference>
        </references>
      </pivotArea>
    </chartFormat>
    <chartFormat chart="4" format="4098">
      <pivotArea type="data" outline="0" fieldPosition="0">
        <references count="2">
          <reference field="4294967294" count="1" selected="0">
            <x v="0"/>
          </reference>
          <reference field="2" count="1" selected="0">
            <x v="457"/>
          </reference>
        </references>
      </pivotArea>
    </chartFormat>
    <chartFormat chart="4" format="4099">
      <pivotArea type="data" outline="0" fieldPosition="0">
        <references count="2">
          <reference field="4294967294" count="1" selected="0">
            <x v="0"/>
          </reference>
          <reference field="2" count="1" selected="0">
            <x v="298"/>
          </reference>
        </references>
      </pivotArea>
    </chartFormat>
    <chartFormat chart="4" format="4100">
      <pivotArea type="data" outline="0" fieldPosition="0">
        <references count="2">
          <reference field="4294967294" count="1" selected="0">
            <x v="0"/>
          </reference>
          <reference field="2" count="1" selected="0">
            <x v="459"/>
          </reference>
        </references>
      </pivotArea>
    </chartFormat>
    <chartFormat chart="4" format="4101">
      <pivotArea type="data" outline="0" fieldPosition="0">
        <references count="2">
          <reference field="4294967294" count="1" selected="0">
            <x v="0"/>
          </reference>
          <reference field="2" count="1" selected="0">
            <x v="395"/>
          </reference>
        </references>
      </pivotArea>
    </chartFormat>
    <chartFormat chart="4" format="4102">
      <pivotArea type="data" outline="0" fieldPosition="0">
        <references count="2">
          <reference field="4294967294" count="1" selected="0">
            <x v="0"/>
          </reference>
          <reference field="2" count="1" selected="0">
            <x v="461"/>
          </reference>
        </references>
      </pivotArea>
    </chartFormat>
    <chartFormat chart="4" format="4103">
      <pivotArea type="data" outline="0" fieldPosition="0">
        <references count="2">
          <reference field="4294967294" count="1" selected="0">
            <x v="0"/>
          </reference>
          <reference field="2" count="1" selected="0">
            <x v="299"/>
          </reference>
        </references>
      </pivotArea>
    </chartFormat>
    <chartFormat chart="4" format="4104">
      <pivotArea type="data" outline="0" fieldPosition="0">
        <references count="2">
          <reference field="4294967294" count="1" selected="0">
            <x v="0"/>
          </reference>
          <reference field="2" count="1" selected="0">
            <x v="316"/>
          </reference>
        </references>
      </pivotArea>
    </chartFormat>
    <chartFormat chart="4" format="4105">
      <pivotArea type="data" outline="0" fieldPosition="0">
        <references count="2">
          <reference field="4294967294" count="1" selected="0">
            <x v="0"/>
          </reference>
          <reference field="2" count="1" selected="0">
            <x v="397"/>
          </reference>
        </references>
      </pivotArea>
    </chartFormat>
    <chartFormat chart="4" format="4106">
      <pivotArea type="data" outline="0" fieldPosition="0">
        <references count="2">
          <reference field="4294967294" count="1" selected="0">
            <x v="0"/>
          </reference>
          <reference field="2" count="1" selected="0">
            <x v="465"/>
          </reference>
        </references>
      </pivotArea>
    </chartFormat>
    <chartFormat chart="4" format="4107">
      <pivotArea type="data" outline="0" fieldPosition="0">
        <references count="2">
          <reference field="4294967294" count="1" selected="0">
            <x v="0"/>
          </reference>
          <reference field="2" count="1" selected="0">
            <x v="300"/>
          </reference>
        </references>
      </pivotArea>
    </chartFormat>
    <chartFormat chart="4" format="4108">
      <pivotArea type="data" outline="0" fieldPosition="0">
        <references count="2">
          <reference field="4294967294" count="1" selected="0">
            <x v="0"/>
          </reference>
          <reference field="2" count="1" selected="0">
            <x v="467"/>
          </reference>
        </references>
      </pivotArea>
    </chartFormat>
    <chartFormat chart="4" format="4109">
      <pivotArea type="data" outline="0" fieldPosition="0">
        <references count="2">
          <reference field="4294967294" count="1" selected="0">
            <x v="0"/>
          </reference>
          <reference field="2" count="1" selected="0">
            <x v="399"/>
          </reference>
        </references>
      </pivotArea>
    </chartFormat>
    <chartFormat chart="4" format="4110">
      <pivotArea type="data" outline="0" fieldPosition="0">
        <references count="2">
          <reference field="4294967294" count="1" selected="0">
            <x v="0"/>
          </reference>
          <reference field="2" count="1" selected="0">
            <x v="469"/>
          </reference>
        </references>
      </pivotArea>
    </chartFormat>
    <chartFormat chart="4" format="4111">
      <pivotArea type="data" outline="0" fieldPosition="0">
        <references count="2">
          <reference field="4294967294" count="1" selected="0">
            <x v="0"/>
          </reference>
          <reference field="2" count="1" selected="0">
            <x v="400"/>
          </reference>
        </references>
      </pivotArea>
    </chartFormat>
    <chartFormat chart="4" format="4112">
      <pivotArea type="data" outline="0" fieldPosition="0">
        <references count="2">
          <reference field="4294967294" count="1" selected="0">
            <x v="0"/>
          </reference>
          <reference field="2" count="1" selected="0">
            <x v="471"/>
          </reference>
        </references>
      </pivotArea>
    </chartFormat>
    <chartFormat chart="4" format="4113">
      <pivotArea type="data" outline="0" fieldPosition="0">
        <references count="2">
          <reference field="4294967294" count="1" selected="0">
            <x v="0"/>
          </reference>
          <reference field="2" count="1" selected="0">
            <x v="401"/>
          </reference>
        </references>
      </pivotArea>
    </chartFormat>
    <chartFormat chart="4" format="4114">
      <pivotArea type="data" outline="0" fieldPosition="0">
        <references count="2">
          <reference field="4294967294" count="1" selected="0">
            <x v="0"/>
          </reference>
          <reference field="2" count="1" selected="0">
            <x v="473"/>
          </reference>
        </references>
      </pivotArea>
    </chartFormat>
    <chartFormat chart="4" format="4115">
      <pivotArea type="data" outline="0" fieldPosition="0">
        <references count="2">
          <reference field="4294967294" count="1" selected="0">
            <x v="0"/>
          </reference>
          <reference field="2" count="1" selected="0">
            <x v="402"/>
          </reference>
        </references>
      </pivotArea>
    </chartFormat>
    <chartFormat chart="4" format="4116">
      <pivotArea type="data" outline="0" fieldPosition="0">
        <references count="2">
          <reference field="4294967294" count="1" selected="0">
            <x v="0"/>
          </reference>
          <reference field="2" count="1" selected="0">
            <x v="475"/>
          </reference>
        </references>
      </pivotArea>
    </chartFormat>
    <chartFormat chart="4" format="4117">
      <pivotArea type="data" outline="0" fieldPosition="0">
        <references count="2">
          <reference field="4294967294" count="1" selected="0">
            <x v="0"/>
          </reference>
          <reference field="2" count="1" selected="0">
            <x v="301"/>
          </reference>
        </references>
      </pivotArea>
    </chartFormat>
    <chartFormat chart="4" format="4118">
      <pivotArea type="data" outline="0" fieldPosition="0">
        <references count="2">
          <reference field="4294967294" count="1" selected="0">
            <x v="0"/>
          </reference>
          <reference field="2" count="1" selected="0">
            <x v="318"/>
          </reference>
        </references>
      </pivotArea>
    </chartFormat>
    <chartFormat chart="4" format="4119">
      <pivotArea type="data" outline="0" fieldPosition="0">
        <references count="2">
          <reference field="4294967294" count="1" selected="0">
            <x v="0"/>
          </reference>
          <reference field="2" count="1" selected="0">
            <x v="302"/>
          </reference>
        </references>
      </pivotArea>
    </chartFormat>
    <chartFormat chart="4" format="4120">
      <pivotArea type="data" outline="0" fieldPosition="0">
        <references count="2">
          <reference field="4294967294" count="1" selected="0">
            <x v="0"/>
          </reference>
          <reference field="2" count="1" selected="0">
            <x v="479"/>
          </reference>
        </references>
      </pivotArea>
    </chartFormat>
    <chartFormat chart="4" format="4121">
      <pivotArea type="data" outline="0" fieldPosition="0">
        <references count="2">
          <reference field="4294967294" count="1" selected="0">
            <x v="0"/>
          </reference>
          <reference field="2" count="1" selected="0">
            <x v="405"/>
          </reference>
        </references>
      </pivotArea>
    </chartFormat>
    <chartFormat chart="4" format="4122">
      <pivotArea type="data" outline="0" fieldPosition="0">
        <references count="2">
          <reference field="4294967294" count="1" selected="0">
            <x v="0"/>
          </reference>
          <reference field="2" count="1" selected="0">
            <x v="320"/>
          </reference>
        </references>
      </pivotArea>
    </chartFormat>
    <chartFormat chart="4" format="4123">
      <pivotArea type="data" outline="0" fieldPosition="0">
        <references count="2">
          <reference field="4294967294" count="1" selected="0">
            <x v="0"/>
          </reference>
          <reference field="2" count="1" selected="0">
            <x v="406"/>
          </reference>
        </references>
      </pivotArea>
    </chartFormat>
    <chartFormat chart="4" format="4124">
      <pivotArea type="data" outline="0" fieldPosition="0">
        <references count="2">
          <reference field="4294967294" count="1" selected="0">
            <x v="0"/>
          </reference>
          <reference field="2" count="1" selected="0">
            <x v="483"/>
          </reference>
        </references>
      </pivotArea>
    </chartFormat>
    <chartFormat chart="4" format="4125">
      <pivotArea type="data" outline="0" fieldPosition="0">
        <references count="2">
          <reference field="4294967294" count="1" selected="0">
            <x v="0"/>
          </reference>
          <reference field="2" count="1" selected="0">
            <x v="407"/>
          </reference>
        </references>
      </pivotArea>
    </chartFormat>
    <chartFormat chart="4" format="4126">
      <pivotArea type="data" outline="0" fieldPosition="0">
        <references count="2">
          <reference field="4294967294" count="1" selected="0">
            <x v="0"/>
          </reference>
          <reference field="2" count="1" selected="0">
            <x v="485"/>
          </reference>
        </references>
      </pivotArea>
    </chartFormat>
    <chartFormat chart="4" format="4127">
      <pivotArea type="data" outline="0" fieldPosition="0">
        <references count="2">
          <reference field="4294967294" count="1" selected="0">
            <x v="0"/>
          </reference>
          <reference field="2" count="1" selected="0">
            <x v="408"/>
          </reference>
        </references>
      </pivotArea>
    </chartFormat>
    <chartFormat chart="4" format="4128">
      <pivotArea type="data" outline="0" fieldPosition="0">
        <references count="2">
          <reference field="4294967294" count="1" selected="0">
            <x v="0"/>
          </reference>
          <reference field="2" count="1" selected="0">
            <x v="284"/>
          </reference>
        </references>
      </pivotArea>
    </chartFormat>
    <chartFormat chart="4" format="4129">
      <pivotArea type="data" outline="0" fieldPosition="0">
        <references count="2">
          <reference field="4294967294" count="1" selected="0">
            <x v="0"/>
          </reference>
          <reference field="2" count="1" selected="0">
            <x v="409"/>
          </reference>
        </references>
      </pivotArea>
    </chartFormat>
    <chartFormat chart="4" format="4130">
      <pivotArea type="data" outline="0" fieldPosition="0">
        <references count="2">
          <reference field="4294967294" count="1" selected="0">
            <x v="0"/>
          </reference>
          <reference field="2" count="1" selected="0">
            <x v="489"/>
          </reference>
        </references>
      </pivotArea>
    </chartFormat>
    <chartFormat chart="4" format="4131">
      <pivotArea type="data" outline="0" fieldPosition="0">
        <references count="2">
          <reference field="4294967294" count="1" selected="0">
            <x v="0"/>
          </reference>
          <reference field="2" count="1" selected="0">
            <x v="303"/>
          </reference>
        </references>
      </pivotArea>
    </chartFormat>
    <chartFormat chart="4" format="4132">
      <pivotArea type="data" outline="0" fieldPosition="0">
        <references count="2">
          <reference field="4294967294" count="1" selected="0">
            <x v="0"/>
          </reference>
          <reference field="2" count="1" selected="0">
            <x v="491"/>
          </reference>
        </references>
      </pivotArea>
    </chartFormat>
    <chartFormat chart="4" format="4133">
      <pivotArea type="data" outline="0" fieldPosition="0">
        <references count="2">
          <reference field="4294967294" count="1" selected="0">
            <x v="0"/>
          </reference>
          <reference field="2" count="1" selected="0">
            <x v="411"/>
          </reference>
        </references>
      </pivotArea>
    </chartFormat>
    <chartFormat chart="4" format="4134">
      <pivotArea type="data" outline="0" fieldPosition="0">
        <references count="2">
          <reference field="4294967294" count="1" selected="0">
            <x v="0"/>
          </reference>
          <reference field="2" count="1" selected="0">
            <x v="325"/>
          </reference>
        </references>
      </pivotArea>
    </chartFormat>
    <chartFormat chart="4" format="4135">
      <pivotArea type="data" outline="0" fieldPosition="0">
        <references count="2">
          <reference field="4294967294" count="1" selected="0">
            <x v="0"/>
          </reference>
          <reference field="2" count="1" selected="0">
            <x v="304"/>
          </reference>
        </references>
      </pivotArea>
    </chartFormat>
    <chartFormat chart="4" format="4136">
      <pivotArea type="data" outline="0" fieldPosition="0">
        <references count="2">
          <reference field="4294967294" count="1" selected="0">
            <x v="0"/>
          </reference>
          <reference field="2" count="1" selected="0">
            <x v="495"/>
          </reference>
        </references>
      </pivotArea>
    </chartFormat>
    <chartFormat chart="4" format="4137">
      <pivotArea type="data" outline="0" fieldPosition="0">
        <references count="2">
          <reference field="4294967294" count="1" selected="0">
            <x v="0"/>
          </reference>
          <reference field="2" count="1" selected="0">
            <x v="551"/>
          </reference>
        </references>
      </pivotArea>
    </chartFormat>
    <chartFormat chart="4" format="4138">
      <pivotArea type="data" outline="0" fieldPosition="0">
        <references count="2">
          <reference field="4294967294" count="1" selected="0">
            <x v="0"/>
          </reference>
          <reference field="2" count="1" selected="0">
            <x v="497"/>
          </reference>
        </references>
      </pivotArea>
    </chartFormat>
    <chartFormat chart="4" format="4139">
      <pivotArea type="data" outline="0" fieldPosition="0">
        <references count="2">
          <reference field="4294967294" count="1" selected="0">
            <x v="0"/>
          </reference>
          <reference field="2" count="1" selected="0">
            <x v="278"/>
          </reference>
        </references>
      </pivotArea>
    </chartFormat>
    <chartFormat chart="4" format="4140">
      <pivotArea type="data" outline="0" fieldPosition="0">
        <references count="2">
          <reference field="4294967294" count="1" selected="0">
            <x v="0"/>
          </reference>
          <reference field="2" count="1" selected="0">
            <x v="499"/>
          </reference>
        </references>
      </pivotArea>
    </chartFormat>
    <chartFormat chart="4" format="4141">
      <pivotArea type="data" outline="0" fieldPosition="0">
        <references count="2">
          <reference field="4294967294" count="1" selected="0">
            <x v="0"/>
          </reference>
          <reference field="2" count="1" selected="0">
            <x v="306"/>
          </reference>
        </references>
      </pivotArea>
    </chartFormat>
    <chartFormat chart="4" format="4142">
      <pivotArea type="data" outline="0" fieldPosition="0">
        <references count="2">
          <reference field="4294967294" count="1" selected="0">
            <x v="0"/>
          </reference>
          <reference field="2" count="1" selected="0">
            <x v="501"/>
          </reference>
        </references>
      </pivotArea>
    </chartFormat>
    <chartFormat chart="4" format="4143">
      <pivotArea type="data" outline="0" fieldPosition="0">
        <references count="2">
          <reference field="4294967294" count="1" selected="0">
            <x v="0"/>
          </reference>
          <reference field="2" count="1" selected="0">
            <x v="416"/>
          </reference>
        </references>
      </pivotArea>
    </chartFormat>
    <chartFormat chart="4" format="4144">
      <pivotArea type="data" outline="0" fieldPosition="0">
        <references count="2">
          <reference field="4294967294" count="1" selected="0">
            <x v="0"/>
          </reference>
          <reference field="2" count="1" selected="0">
            <x v="503"/>
          </reference>
        </references>
      </pivotArea>
    </chartFormat>
    <chartFormat chart="4" format="4145">
      <pivotArea type="data" outline="0" fieldPosition="0">
        <references count="2">
          <reference field="4294967294" count="1" selected="0">
            <x v="0"/>
          </reference>
          <reference field="2" count="1" selected="0">
            <x v="307"/>
          </reference>
        </references>
      </pivotArea>
    </chartFormat>
    <chartFormat chart="4" format="4146">
      <pivotArea type="data" outline="0" fieldPosition="0">
        <references count="2">
          <reference field="4294967294" count="1" selected="0">
            <x v="0"/>
          </reference>
          <reference field="2" count="1" selected="0">
            <x v="505"/>
          </reference>
        </references>
      </pivotArea>
    </chartFormat>
    <chartFormat chart="4" format="4147">
      <pivotArea type="data" outline="0" fieldPosition="0">
        <references count="2">
          <reference field="4294967294" count="1" selected="0">
            <x v="0"/>
          </reference>
          <reference field="2" count="1" selected="0">
            <x v="418"/>
          </reference>
        </references>
      </pivotArea>
    </chartFormat>
    <chartFormat chart="4" format="4148">
      <pivotArea type="data" outline="0" fieldPosition="0">
        <references count="2">
          <reference field="4294967294" count="1" selected="0">
            <x v="0"/>
          </reference>
          <reference field="2" count="1" selected="0">
            <x v="507"/>
          </reference>
        </references>
      </pivotArea>
    </chartFormat>
    <chartFormat chart="4" format="4149">
      <pivotArea type="data" outline="0" fieldPosition="0">
        <references count="2">
          <reference field="4294967294" count="1" selected="0">
            <x v="0"/>
          </reference>
          <reference field="2" count="1" selected="0">
            <x v="419"/>
          </reference>
        </references>
      </pivotArea>
    </chartFormat>
    <chartFormat chart="4" format="4150">
      <pivotArea type="data" outline="0" fieldPosition="0">
        <references count="2">
          <reference field="4294967294" count="1" selected="0">
            <x v="0"/>
          </reference>
          <reference field="2" count="1" selected="0">
            <x v="509"/>
          </reference>
        </references>
      </pivotArea>
    </chartFormat>
    <chartFormat chart="4" format="4151">
      <pivotArea type="data" outline="0" fieldPosition="0">
        <references count="2">
          <reference field="4294967294" count="1" selected="0">
            <x v="0"/>
          </reference>
          <reference field="2" count="1" selected="0">
            <x v="420"/>
          </reference>
        </references>
      </pivotArea>
    </chartFormat>
    <chartFormat chart="4" format="4152">
      <pivotArea type="data" outline="0" fieldPosition="0">
        <references count="2">
          <reference field="4294967294" count="1" selected="0">
            <x v="0"/>
          </reference>
          <reference field="2" count="1" selected="0">
            <x v="511"/>
          </reference>
        </references>
      </pivotArea>
    </chartFormat>
    <chartFormat chart="4" format="4153">
      <pivotArea type="data" outline="0" fieldPosition="0">
        <references count="2">
          <reference field="4294967294" count="1" selected="0">
            <x v="0"/>
          </reference>
          <reference field="2" count="1" selected="0">
            <x v="421"/>
          </reference>
        </references>
      </pivotArea>
    </chartFormat>
    <chartFormat chart="4" format="4154">
      <pivotArea type="data" outline="0" fieldPosition="0">
        <references count="2">
          <reference field="4294967294" count="1" selected="0">
            <x v="0"/>
          </reference>
          <reference field="2" count="1" selected="0">
            <x v="513"/>
          </reference>
        </references>
      </pivotArea>
    </chartFormat>
    <chartFormat chart="4" format="4155">
      <pivotArea type="data" outline="0" fieldPosition="0">
        <references count="2">
          <reference field="4294967294" count="1" selected="0">
            <x v="0"/>
          </reference>
          <reference field="2" count="1" selected="0">
            <x v="422"/>
          </reference>
        </references>
      </pivotArea>
    </chartFormat>
    <chartFormat chart="4" format="4156">
      <pivotArea type="data" outline="0" fieldPosition="0">
        <references count="2">
          <reference field="4294967294" count="1" selected="0">
            <x v="0"/>
          </reference>
          <reference field="2" count="1" selected="0">
            <x v="515"/>
          </reference>
        </references>
      </pivotArea>
    </chartFormat>
    <chartFormat chart="4" format="4157">
      <pivotArea type="data" outline="0" fieldPosition="0">
        <references count="2">
          <reference field="4294967294" count="1" selected="0">
            <x v="0"/>
          </reference>
          <reference field="2" count="1" selected="0">
            <x v="308"/>
          </reference>
        </references>
      </pivotArea>
    </chartFormat>
    <chartFormat chart="4" format="4158">
      <pivotArea type="data" outline="0" fieldPosition="0">
        <references count="2">
          <reference field="4294967294" count="1" selected="0">
            <x v="0"/>
          </reference>
          <reference field="2" count="1" selected="0">
            <x v="517"/>
          </reference>
        </references>
      </pivotArea>
    </chartFormat>
    <chartFormat chart="4" format="4159">
      <pivotArea type="data" outline="0" fieldPosition="0">
        <references count="2">
          <reference field="4294967294" count="1" selected="0">
            <x v="0"/>
          </reference>
          <reference field="2" count="1" selected="0">
            <x v="424"/>
          </reference>
        </references>
      </pivotArea>
    </chartFormat>
    <chartFormat chart="4" format="4160">
      <pivotArea type="data" outline="0" fieldPosition="0">
        <references count="2">
          <reference field="4294967294" count="1" selected="0">
            <x v="0"/>
          </reference>
          <reference field="2" count="1" selected="0">
            <x v="519"/>
          </reference>
        </references>
      </pivotArea>
    </chartFormat>
    <chartFormat chart="4" format="4161">
      <pivotArea type="data" outline="0" fieldPosition="0">
        <references count="2">
          <reference field="4294967294" count="1" selected="0">
            <x v="0"/>
          </reference>
          <reference field="2" count="1" selected="0">
            <x v="425"/>
          </reference>
        </references>
      </pivotArea>
    </chartFormat>
    <chartFormat chart="4" format="4162">
      <pivotArea type="data" outline="0" fieldPosition="0">
        <references count="2">
          <reference field="4294967294" count="1" selected="0">
            <x v="0"/>
          </reference>
          <reference field="2" count="1" selected="0">
            <x v="521"/>
          </reference>
        </references>
      </pivotArea>
    </chartFormat>
    <chartFormat chart="4" format="4163">
      <pivotArea type="data" outline="0" fieldPosition="0">
        <references count="2">
          <reference field="4294967294" count="1" selected="0">
            <x v="0"/>
          </reference>
          <reference field="2" count="1" selected="0">
            <x v="426"/>
          </reference>
        </references>
      </pivotArea>
    </chartFormat>
    <chartFormat chart="4" format="4164">
      <pivotArea type="data" outline="0" fieldPosition="0">
        <references count="2">
          <reference field="4294967294" count="1" selected="0">
            <x v="0"/>
          </reference>
          <reference field="2" count="1" selected="0">
            <x v="523"/>
          </reference>
        </references>
      </pivotArea>
    </chartFormat>
    <chartFormat chart="4" format="4165">
      <pivotArea type="data" outline="0" fieldPosition="0">
        <references count="2">
          <reference field="4294967294" count="1" selected="0">
            <x v="0"/>
          </reference>
          <reference field="2" count="1" selected="0">
            <x v="427"/>
          </reference>
        </references>
      </pivotArea>
    </chartFormat>
    <chartFormat chart="4" format="4166">
      <pivotArea type="data" outline="0" fieldPosition="0">
        <references count="2">
          <reference field="4294967294" count="1" selected="0">
            <x v="0"/>
          </reference>
          <reference field="2" count="1" selected="0">
            <x v="285"/>
          </reference>
        </references>
      </pivotArea>
    </chartFormat>
    <chartFormat chart="4" format="4167">
      <pivotArea type="data" outline="0" fieldPosition="0">
        <references count="2">
          <reference field="4294967294" count="1" selected="0">
            <x v="0"/>
          </reference>
          <reference field="2" count="1" selected="0">
            <x v="428"/>
          </reference>
        </references>
      </pivotArea>
    </chartFormat>
    <chartFormat chart="4" format="4168">
      <pivotArea type="data" outline="0" fieldPosition="0">
        <references count="2">
          <reference field="4294967294" count="1" selected="0">
            <x v="0"/>
          </reference>
          <reference field="2" count="1" selected="0">
            <x v="328"/>
          </reference>
        </references>
      </pivotArea>
    </chartFormat>
    <chartFormat chart="4" format="4169">
      <pivotArea type="data" outline="0" fieldPosition="0">
        <references count="2">
          <reference field="4294967294" count="1" selected="0">
            <x v="0"/>
          </reference>
          <reference field="2" count="1" selected="0">
            <x v="429"/>
          </reference>
        </references>
      </pivotArea>
    </chartFormat>
    <chartFormat chart="4" format="4170">
      <pivotArea type="data" outline="0" fieldPosition="0">
        <references count="2">
          <reference field="4294967294" count="1" selected="0">
            <x v="0"/>
          </reference>
          <reference field="2" count="1" selected="0">
            <x v="529"/>
          </reference>
        </references>
      </pivotArea>
    </chartFormat>
    <chartFormat chart="4" format="4171">
      <pivotArea type="data" outline="0" fieldPosition="0">
        <references count="2">
          <reference field="4294967294" count="1" selected="0">
            <x v="0"/>
          </reference>
          <reference field="2" count="1" selected="0">
            <x v="430"/>
          </reference>
        </references>
      </pivotArea>
    </chartFormat>
    <chartFormat chart="4" format="4172">
      <pivotArea type="data" outline="0" fieldPosition="0">
        <references count="2">
          <reference field="4294967294" count="1" selected="0">
            <x v="0"/>
          </reference>
          <reference field="2" count="1" selected="0">
            <x v="531"/>
          </reference>
        </references>
      </pivotArea>
    </chartFormat>
    <chartFormat chart="4" format="4173">
      <pivotArea type="data" outline="0" fieldPosition="0">
        <references count="2">
          <reference field="4294967294" count="1" selected="0">
            <x v="0"/>
          </reference>
          <reference field="2" count="1" selected="0">
            <x v="309"/>
          </reference>
        </references>
      </pivotArea>
    </chartFormat>
    <chartFormat chart="4" format="4174">
      <pivotArea type="data" outline="0" fieldPosition="0">
        <references count="2">
          <reference field="4294967294" count="1" selected="0">
            <x v="0"/>
          </reference>
          <reference field="2" count="1" selected="0">
            <x v="331"/>
          </reference>
        </references>
      </pivotArea>
    </chartFormat>
    <chartFormat chart="4" format="4175">
      <pivotArea type="data" outline="0" fieldPosition="0">
        <references count="2">
          <reference field="4294967294" count="1" selected="0">
            <x v="0"/>
          </reference>
          <reference field="2" count="1" selected="0">
            <x v="432"/>
          </reference>
        </references>
      </pivotArea>
    </chartFormat>
    <chartFormat chart="4" format="4176">
      <pivotArea type="data" outline="0" fieldPosition="0">
        <references count="2">
          <reference field="4294967294" count="1" selected="0">
            <x v="0"/>
          </reference>
          <reference field="2" count="1" selected="0">
            <x v="535"/>
          </reference>
        </references>
      </pivotArea>
    </chartFormat>
    <chartFormat chart="4" format="4177">
      <pivotArea type="data" outline="0" fieldPosition="0">
        <references count="2">
          <reference field="4294967294" count="1" selected="0">
            <x v="0"/>
          </reference>
          <reference field="2" count="1" selected="0">
            <x v="282"/>
          </reference>
        </references>
      </pivotArea>
    </chartFormat>
    <chartFormat chart="4" format="4178">
      <pivotArea type="data" outline="0" fieldPosition="0">
        <references count="2">
          <reference field="4294967294" count="1" selected="0">
            <x v="0"/>
          </reference>
          <reference field="2" count="1" selected="0">
            <x v="537"/>
          </reference>
        </references>
      </pivotArea>
    </chartFormat>
    <chartFormat chart="4" format="4179">
      <pivotArea type="data" outline="0" fieldPosition="0">
        <references count="2">
          <reference field="4294967294" count="1" selected="0">
            <x v="0"/>
          </reference>
          <reference field="2" count="1" selected="0">
            <x v="434"/>
          </reference>
        </references>
      </pivotArea>
    </chartFormat>
    <chartFormat chart="4" format="4180">
      <pivotArea type="data" outline="0" fieldPosition="0">
        <references count="2">
          <reference field="4294967294" count="1" selected="0">
            <x v="0"/>
          </reference>
          <reference field="2" count="1" selected="0">
            <x v="539"/>
          </reference>
        </references>
      </pivotArea>
    </chartFormat>
    <chartFormat chart="4" format="4181">
      <pivotArea type="data" outline="0" fieldPosition="0">
        <references count="2">
          <reference field="4294967294" count="1" selected="0">
            <x v="0"/>
          </reference>
          <reference field="2" count="1" selected="0">
            <x v="435"/>
          </reference>
        </references>
      </pivotArea>
    </chartFormat>
    <chartFormat chart="4" format="4182">
      <pivotArea type="data" outline="0" fieldPosition="0">
        <references count="2">
          <reference field="4294967294" count="1" selected="0">
            <x v="0"/>
          </reference>
          <reference field="2" count="1" selected="0">
            <x v="541"/>
          </reference>
        </references>
      </pivotArea>
    </chartFormat>
    <chartFormat chart="4" format="4183">
      <pivotArea type="data" outline="0" fieldPosition="0">
        <references count="2">
          <reference field="4294967294" count="1" selected="0">
            <x v="0"/>
          </reference>
          <reference field="2" count="1" selected="0">
            <x v="311"/>
          </reference>
        </references>
      </pivotArea>
    </chartFormat>
    <chartFormat chart="4" format="4184">
      <pivotArea type="data" outline="0" fieldPosition="0">
        <references count="2">
          <reference field="4294967294" count="1" selected="0">
            <x v="0"/>
          </reference>
          <reference field="2" count="1" selected="0">
            <x v="543"/>
          </reference>
        </references>
      </pivotArea>
    </chartFormat>
    <chartFormat chart="4" format="4185">
      <pivotArea type="data" outline="0" fieldPosition="0">
        <references count="2">
          <reference field="4294967294" count="1" selected="0">
            <x v="0"/>
          </reference>
          <reference field="2" count="1" selected="0">
            <x v="437"/>
          </reference>
        </references>
      </pivotArea>
    </chartFormat>
    <chartFormat chart="4" format="4186">
      <pivotArea type="data" outline="0" fieldPosition="0">
        <references count="2">
          <reference field="4294967294" count="1" selected="0">
            <x v="0"/>
          </reference>
          <reference field="2" count="1" selected="0">
            <x v="545"/>
          </reference>
        </references>
      </pivotArea>
    </chartFormat>
    <chartFormat chart="4" format="4187">
      <pivotArea type="data" outline="0" fieldPosition="0">
        <references count="2">
          <reference field="4294967294" count="1" selected="0">
            <x v="0"/>
          </reference>
          <reference field="2" count="1" selected="0">
            <x v="312"/>
          </reference>
        </references>
      </pivotArea>
    </chartFormat>
    <chartFormat chart="4" format="4188">
      <pivotArea type="data" outline="0" fieldPosition="0">
        <references count="2">
          <reference field="4294967294" count="1" selected="0">
            <x v="0"/>
          </reference>
          <reference field="2" count="1" selected="0">
            <x v="547"/>
          </reference>
        </references>
      </pivotArea>
    </chartFormat>
    <chartFormat chart="4" format="4189">
      <pivotArea type="data" outline="0" fieldPosition="0">
        <references count="2">
          <reference field="4294967294" count="1" selected="0">
            <x v="0"/>
          </reference>
          <reference field="2" count="1" selected="0">
            <x v="439"/>
          </reference>
        </references>
      </pivotArea>
    </chartFormat>
    <chartFormat chart="4" format="4190">
      <pivotArea type="data" outline="0" fieldPosition="0">
        <references count="2">
          <reference field="4294967294" count="1" selected="0">
            <x v="0"/>
          </reference>
          <reference field="2" count="1" selected="0">
            <x v="549"/>
          </reference>
        </references>
      </pivotArea>
    </chartFormat>
    <chartFormat chart="4" format="4191">
      <pivotArea type="data" outline="0" fieldPosition="0">
        <references count="2">
          <reference field="4294967294" count="1" selected="0">
            <x v="0"/>
          </reference>
          <reference field="2" count="1" selected="0">
            <x v="440"/>
          </reference>
        </references>
      </pivotArea>
    </chartFormat>
    <chartFormat chart="4" format="4192">
      <pivotArea type="data" outline="0" fieldPosition="0">
        <references count="2">
          <reference field="4294967294" count="1" selected="0">
            <x v="0"/>
          </reference>
          <reference field="2" count="1" selected="0">
            <x v="333"/>
          </reference>
        </references>
      </pivotArea>
    </chartFormat>
    <chartFormat chart="4" format="4193">
      <pivotArea type="data" outline="0" fieldPosition="0">
        <references count="2">
          <reference field="4294967294" count="1" selected="0">
            <x v="0"/>
          </reference>
          <reference field="2" count="1" selected="0">
            <x v="441"/>
          </reference>
        </references>
      </pivotArea>
    </chartFormat>
    <chartFormat chart="4" format="4194">
      <pivotArea type="data" outline="0" fieldPosition="0">
        <references count="2">
          <reference field="4294967294" count="1" selected="0">
            <x v="0"/>
          </reference>
          <reference field="2" count="1" selected="0">
            <x v="413"/>
          </reference>
        </references>
      </pivotArea>
    </chartFormat>
    <chartFormat chart="4" format="4195">
      <pivotArea type="data" outline="0" fieldPosition="0">
        <references count="2">
          <reference field="4294967294" count="1" selected="0">
            <x v="0"/>
          </reference>
          <reference field="2" count="1" selected="0">
            <x v="172"/>
          </reference>
        </references>
      </pivotArea>
    </chartFormat>
    <chartFormat chart="4" format="4196">
      <pivotArea type="data" outline="0" fieldPosition="0">
        <references count="2">
          <reference field="4294967294" count="1" selected="0">
            <x v="0"/>
          </reference>
          <reference field="2" count="1" selected="0">
            <x v="6"/>
          </reference>
        </references>
      </pivotArea>
    </chartFormat>
    <chartFormat chart="4" format="4197">
      <pivotArea type="data" outline="0" fieldPosition="0">
        <references count="2">
          <reference field="4294967294" count="1" selected="0">
            <x v="0"/>
          </reference>
          <reference field="2" count="1" selected="0">
            <x v="204"/>
          </reference>
        </references>
      </pivotArea>
    </chartFormat>
    <chartFormat chart="4" format="4198">
      <pivotArea type="data" outline="0" fieldPosition="0">
        <references count="2">
          <reference field="4294967294" count="1" selected="0">
            <x v="0"/>
          </reference>
          <reference field="2" count="1" selected="0">
            <x v="46"/>
          </reference>
        </references>
      </pivotArea>
    </chartFormat>
    <chartFormat chart="4" format="4199">
      <pivotArea type="data" outline="0" fieldPosition="0">
        <references count="2">
          <reference field="4294967294" count="1" selected="0">
            <x v="0"/>
          </reference>
          <reference field="2" count="1" selected="0">
            <x v="156"/>
          </reference>
        </references>
      </pivotArea>
    </chartFormat>
    <chartFormat chart="4" format="4200">
      <pivotArea type="data" outline="0" fieldPosition="0">
        <references count="2">
          <reference field="4294967294" count="1" selected="0">
            <x v="0"/>
          </reference>
          <reference field="2" count="1" selected="0">
            <x v="47"/>
          </reference>
        </references>
      </pivotArea>
    </chartFormat>
    <chartFormat chart="4" format="4201">
      <pivotArea type="data" outline="0" fieldPosition="0">
        <references count="2">
          <reference field="4294967294" count="1" selected="0">
            <x v="0"/>
          </reference>
          <reference field="2" count="1" selected="0">
            <x v="188"/>
          </reference>
        </references>
      </pivotArea>
    </chartFormat>
    <chartFormat chart="4" format="4202">
      <pivotArea type="data" outline="0" fieldPosition="0">
        <references count="2">
          <reference field="4294967294" count="1" selected="0">
            <x v="0"/>
          </reference>
          <reference field="2" count="1" selected="0">
            <x v="19"/>
          </reference>
        </references>
      </pivotArea>
    </chartFormat>
    <chartFormat chart="4" format="4203">
      <pivotArea type="data" outline="0" fieldPosition="0">
        <references count="2">
          <reference field="4294967294" count="1" selected="0">
            <x v="0"/>
          </reference>
          <reference field="2" count="1" selected="0">
            <x v="220"/>
          </reference>
        </references>
      </pivotArea>
    </chartFormat>
    <chartFormat chart="4" format="4204">
      <pivotArea type="data" outline="0" fieldPosition="0">
        <references count="2">
          <reference field="4294967294" count="1" selected="0">
            <x v="0"/>
          </reference>
          <reference field="2" count="1" selected="0">
            <x v="49"/>
          </reference>
        </references>
      </pivotArea>
    </chartFormat>
    <chartFormat chart="4" format="4205">
      <pivotArea type="data" outline="0" fieldPosition="0">
        <references count="2">
          <reference field="4294967294" count="1" selected="0">
            <x v="0"/>
          </reference>
          <reference field="2" count="1" selected="0">
            <x v="252"/>
          </reference>
        </references>
      </pivotArea>
    </chartFormat>
    <chartFormat chart="4" format="4206">
      <pivotArea type="data" outline="0" fieldPosition="0">
        <references count="2">
          <reference field="4294967294" count="1" selected="0">
            <x v="0"/>
          </reference>
          <reference field="2" count="1" selected="0">
            <x v="50"/>
          </reference>
        </references>
      </pivotArea>
    </chartFormat>
    <chartFormat chart="4" format="4207">
      <pivotArea type="data" outline="0" fieldPosition="0">
        <references count="2">
          <reference field="4294967294" count="1" selected="0">
            <x v="0"/>
          </reference>
          <reference field="2" count="1" selected="0">
            <x v="164"/>
          </reference>
        </references>
      </pivotArea>
    </chartFormat>
    <chartFormat chart="4" format="4208">
      <pivotArea type="data" outline="0" fieldPosition="0">
        <references count="2">
          <reference field="4294967294" count="1" selected="0">
            <x v="0"/>
          </reference>
          <reference field="2" count="1" selected="0">
            <x v="51"/>
          </reference>
        </references>
      </pivotArea>
    </chartFormat>
    <chartFormat chart="4" format="4209">
      <pivotArea type="data" outline="0" fieldPosition="0">
        <references count="2">
          <reference field="4294967294" count="1" selected="0">
            <x v="0"/>
          </reference>
          <reference field="2" count="1" selected="0">
            <x v="180"/>
          </reference>
        </references>
      </pivotArea>
    </chartFormat>
    <chartFormat chart="4" format="4210">
      <pivotArea type="data" outline="0" fieldPosition="0">
        <references count="2">
          <reference field="4294967294" count="1" selected="0">
            <x v="0"/>
          </reference>
          <reference field="2" count="1" selected="0">
            <x v="52"/>
          </reference>
        </references>
      </pivotArea>
    </chartFormat>
    <chartFormat chart="4" format="4211">
      <pivotArea type="data" outline="0" fieldPosition="0">
        <references count="2">
          <reference field="4294967294" count="1" selected="0">
            <x v="0"/>
          </reference>
          <reference field="2" count="1" selected="0">
            <x v="196"/>
          </reference>
        </references>
      </pivotArea>
    </chartFormat>
    <chartFormat chart="4" format="4212">
      <pivotArea type="data" outline="0" fieldPosition="0">
        <references count="2">
          <reference field="4294967294" count="1" selected="0">
            <x v="0"/>
          </reference>
          <reference field="2" count="1" selected="0">
            <x v="20"/>
          </reference>
        </references>
      </pivotArea>
    </chartFormat>
    <chartFormat chart="4" format="4213">
      <pivotArea type="data" outline="0" fieldPosition="0">
        <references count="2">
          <reference field="4294967294" count="1" selected="0">
            <x v="0"/>
          </reference>
          <reference field="2" count="1" selected="0">
            <x v="212"/>
          </reference>
        </references>
      </pivotArea>
    </chartFormat>
    <chartFormat chart="4" format="4214">
      <pivotArea type="data" outline="0" fieldPosition="0">
        <references count="2">
          <reference field="4294967294" count="1" selected="0">
            <x v="0"/>
          </reference>
          <reference field="2" count="1" selected="0">
            <x v="54"/>
          </reference>
        </references>
      </pivotArea>
    </chartFormat>
    <chartFormat chart="4" format="4215">
      <pivotArea type="data" outline="0" fieldPosition="0">
        <references count="2">
          <reference field="4294967294" count="1" selected="0">
            <x v="0"/>
          </reference>
          <reference field="2" count="1" selected="0">
            <x v="38"/>
          </reference>
        </references>
      </pivotArea>
    </chartFormat>
    <chartFormat chart="4" format="4216">
      <pivotArea type="data" outline="0" fieldPosition="0">
        <references count="2">
          <reference field="4294967294" count="1" selected="0">
            <x v="0"/>
          </reference>
          <reference field="2" count="1" selected="0">
            <x v="55"/>
          </reference>
        </references>
      </pivotArea>
    </chartFormat>
    <chartFormat chart="4" format="4217">
      <pivotArea type="data" outline="0" fieldPosition="0">
        <references count="2">
          <reference field="4294967294" count="1" selected="0">
            <x v="0"/>
          </reference>
          <reference field="2" count="1" selected="0">
            <x v="244"/>
          </reference>
        </references>
      </pivotArea>
    </chartFormat>
    <chartFormat chart="4" format="4218">
      <pivotArea type="data" outline="0" fieldPosition="0">
        <references count="2">
          <reference field="4294967294" count="1" selected="0">
            <x v="0"/>
          </reference>
          <reference field="2" count="1" selected="0">
            <x v="56"/>
          </reference>
        </references>
      </pivotArea>
    </chartFormat>
    <chartFormat chart="4" format="4219">
      <pivotArea type="data" outline="0" fieldPosition="0">
        <references count="2">
          <reference field="4294967294" count="1" selected="0">
            <x v="0"/>
          </reference>
          <reference field="2" count="1" selected="0">
            <x v="260"/>
          </reference>
        </references>
      </pivotArea>
    </chartFormat>
    <chartFormat chart="4" format="4220">
      <pivotArea type="data" outline="0" fieldPosition="0">
        <references count="2">
          <reference field="4294967294" count="1" selected="0">
            <x v="0"/>
          </reference>
          <reference field="2" count="1" selected="0">
            <x v="57"/>
          </reference>
        </references>
      </pivotArea>
    </chartFormat>
    <chartFormat chart="4" format="4221">
      <pivotArea type="data" outline="0" fieldPosition="0">
        <references count="2">
          <reference field="4294967294" count="1" selected="0">
            <x v="0"/>
          </reference>
          <reference field="2" count="1" selected="0">
            <x v="160"/>
          </reference>
        </references>
      </pivotArea>
    </chartFormat>
    <chartFormat chart="4" format="4222">
      <pivotArea type="data" outline="0" fieldPosition="0">
        <references count="2">
          <reference field="4294967294" count="1" selected="0">
            <x v="0"/>
          </reference>
          <reference field="2" count="1" selected="0">
            <x v="58"/>
          </reference>
        </references>
      </pivotArea>
    </chartFormat>
    <chartFormat chart="4" format="4223">
      <pivotArea type="data" outline="0" fieldPosition="0">
        <references count="2">
          <reference field="4294967294" count="1" selected="0">
            <x v="0"/>
          </reference>
          <reference field="2" count="1" selected="0">
            <x v="168"/>
          </reference>
        </references>
      </pivotArea>
    </chartFormat>
    <chartFormat chart="4" format="4224">
      <pivotArea type="data" outline="0" fieldPosition="0">
        <references count="2">
          <reference field="4294967294" count="1" selected="0">
            <x v="0"/>
          </reference>
          <reference field="2" count="1" selected="0">
            <x v="21"/>
          </reference>
        </references>
      </pivotArea>
    </chartFormat>
    <chartFormat chart="4" format="4225">
      <pivotArea type="data" outline="0" fieldPosition="0">
        <references count="2">
          <reference field="4294967294" count="1" selected="0">
            <x v="0"/>
          </reference>
          <reference field="2" count="1" selected="0">
            <x v="176"/>
          </reference>
        </references>
      </pivotArea>
    </chartFormat>
    <chartFormat chart="4" format="4226">
      <pivotArea type="data" outline="0" fieldPosition="0">
        <references count="2">
          <reference field="4294967294" count="1" selected="0">
            <x v="0"/>
          </reference>
          <reference field="2" count="1" selected="0">
            <x v="60"/>
          </reference>
        </references>
      </pivotArea>
    </chartFormat>
    <chartFormat chart="4" format="4227">
      <pivotArea type="data" outline="0" fieldPosition="0">
        <references count="2">
          <reference field="4294967294" count="1" selected="0">
            <x v="0"/>
          </reference>
          <reference field="2" count="1" selected="0">
            <x v="184"/>
          </reference>
        </references>
      </pivotArea>
    </chartFormat>
    <chartFormat chart="4" format="4228">
      <pivotArea type="data" outline="0" fieldPosition="0">
        <references count="2">
          <reference field="4294967294" count="1" selected="0">
            <x v="0"/>
          </reference>
          <reference field="2" count="1" selected="0">
            <x v="61"/>
          </reference>
        </references>
      </pivotArea>
    </chartFormat>
    <chartFormat chart="4" format="4229">
      <pivotArea type="data" outline="0" fieldPosition="0">
        <references count="2">
          <reference field="4294967294" count="1" selected="0">
            <x v="0"/>
          </reference>
          <reference field="2" count="1" selected="0">
            <x v="192"/>
          </reference>
        </references>
      </pivotArea>
    </chartFormat>
    <chartFormat chart="4" format="4230">
      <pivotArea type="data" outline="0" fieldPosition="0">
        <references count="2">
          <reference field="4294967294" count="1" selected="0">
            <x v="0"/>
          </reference>
          <reference field="2" count="1" selected="0">
            <x v="62"/>
          </reference>
        </references>
      </pivotArea>
    </chartFormat>
    <chartFormat chart="4" format="4231">
      <pivotArea type="data" outline="0" fieldPosition="0">
        <references count="2">
          <reference field="4294967294" count="1" selected="0">
            <x v="0"/>
          </reference>
          <reference field="2" count="1" selected="0">
            <x v="200"/>
          </reference>
        </references>
      </pivotArea>
    </chartFormat>
    <chartFormat chart="4" format="4232">
      <pivotArea type="data" outline="0" fieldPosition="0">
        <references count="2">
          <reference field="4294967294" count="1" selected="0">
            <x v="0"/>
          </reference>
          <reference field="2" count="1" selected="0">
            <x v="63"/>
          </reference>
        </references>
      </pivotArea>
    </chartFormat>
    <chartFormat chart="4" format="4233">
      <pivotArea type="data" outline="0" fieldPosition="0">
        <references count="2">
          <reference field="4294967294" count="1" selected="0">
            <x v="0"/>
          </reference>
          <reference field="2" count="1" selected="0">
            <x v="208"/>
          </reference>
        </references>
      </pivotArea>
    </chartFormat>
    <chartFormat chart="4" format="4234">
      <pivotArea type="data" outline="0" fieldPosition="0">
        <references count="2">
          <reference field="4294967294" count="1" selected="0">
            <x v="0"/>
          </reference>
          <reference field="2" count="1" selected="0">
            <x v="64"/>
          </reference>
        </references>
      </pivotArea>
    </chartFormat>
    <chartFormat chart="4" format="4235">
      <pivotArea type="data" outline="0" fieldPosition="0">
        <references count="2">
          <reference field="4294967294" count="1" selected="0">
            <x v="0"/>
          </reference>
          <reference field="2" count="1" selected="0">
            <x v="216"/>
          </reference>
        </references>
      </pivotArea>
    </chartFormat>
    <chartFormat chart="4" format="4236">
      <pivotArea type="data" outline="0" fieldPosition="0">
        <references count="2">
          <reference field="4294967294" count="1" selected="0">
            <x v="0"/>
          </reference>
          <reference field="2" count="1" selected="0">
            <x v="65"/>
          </reference>
        </references>
      </pivotArea>
    </chartFormat>
    <chartFormat chart="4" format="4237">
      <pivotArea type="data" outline="0" fieldPosition="0">
        <references count="2">
          <reference field="4294967294" count="1" selected="0">
            <x v="0"/>
          </reference>
          <reference field="2" count="1" selected="0">
            <x v="224"/>
          </reference>
        </references>
      </pivotArea>
    </chartFormat>
    <chartFormat chart="4" format="4238">
      <pivotArea type="data" outline="0" fieldPosition="0">
        <references count="2">
          <reference field="4294967294" count="1" selected="0">
            <x v="0"/>
          </reference>
          <reference field="2" count="1" selected="0">
            <x v="66"/>
          </reference>
        </references>
      </pivotArea>
    </chartFormat>
    <chartFormat chart="4" format="4239">
      <pivotArea type="data" outline="0" fieldPosition="0">
        <references count="2">
          <reference field="4294967294" count="1" selected="0">
            <x v="0"/>
          </reference>
          <reference field="2" count="1" selected="0">
            <x v="232"/>
          </reference>
        </references>
      </pivotArea>
    </chartFormat>
    <chartFormat chart="4" format="4240">
      <pivotArea type="data" outline="0" fieldPosition="0">
        <references count="2">
          <reference field="4294967294" count="1" selected="0">
            <x v="0"/>
          </reference>
          <reference field="2" count="1" selected="0">
            <x v="22"/>
          </reference>
        </references>
      </pivotArea>
    </chartFormat>
    <chartFormat chart="4" format="4241">
      <pivotArea type="data" outline="0" fieldPosition="0">
        <references count="2">
          <reference field="4294967294" count="1" selected="0">
            <x v="0"/>
          </reference>
          <reference field="2" count="1" selected="0">
            <x v="41"/>
          </reference>
        </references>
      </pivotArea>
    </chartFormat>
    <chartFormat chart="4" format="4242">
      <pivotArea type="data" outline="0" fieldPosition="0">
        <references count="2">
          <reference field="4294967294" count="1" selected="0">
            <x v="0"/>
          </reference>
          <reference field="2" count="1" selected="0">
            <x v="68"/>
          </reference>
        </references>
      </pivotArea>
    </chartFormat>
    <chartFormat chart="4" format="4243">
      <pivotArea type="data" outline="0" fieldPosition="0">
        <references count="2">
          <reference field="4294967294" count="1" selected="0">
            <x v="0"/>
          </reference>
          <reference field="2" count="1" selected="0">
            <x v="248"/>
          </reference>
        </references>
      </pivotArea>
    </chartFormat>
    <chartFormat chart="4" format="4244">
      <pivotArea type="data" outline="0" fieldPosition="0">
        <references count="2">
          <reference field="4294967294" count="1" selected="0">
            <x v="0"/>
          </reference>
          <reference field="2" count="1" selected="0">
            <x v="69"/>
          </reference>
        </references>
      </pivotArea>
    </chartFormat>
    <chartFormat chart="4" format="4245">
      <pivotArea type="data" outline="0" fieldPosition="0">
        <references count="2">
          <reference field="4294967294" count="1" selected="0">
            <x v="0"/>
          </reference>
          <reference field="2" count="1" selected="0">
            <x v="256"/>
          </reference>
        </references>
      </pivotArea>
    </chartFormat>
    <chartFormat chart="4" format="4246">
      <pivotArea type="data" outline="0" fieldPosition="0">
        <references count="2">
          <reference field="4294967294" count="1" selected="0">
            <x v="0"/>
          </reference>
          <reference field="2" count="1" selected="0">
            <x v="70"/>
          </reference>
        </references>
      </pivotArea>
    </chartFormat>
    <chartFormat chart="4" format="4247">
      <pivotArea type="data" outline="0" fieldPosition="0">
        <references count="2">
          <reference field="4294967294" count="1" selected="0">
            <x v="0"/>
          </reference>
          <reference field="2" count="1" selected="0">
            <x v="154"/>
          </reference>
        </references>
      </pivotArea>
    </chartFormat>
    <chartFormat chart="4" format="4248">
      <pivotArea type="data" outline="0" fieldPosition="0">
        <references count="2">
          <reference field="4294967294" count="1" selected="0">
            <x v="0"/>
          </reference>
          <reference field="2" count="1" selected="0">
            <x v="71"/>
          </reference>
        </references>
      </pivotArea>
    </chartFormat>
    <chartFormat chart="4" format="4249">
      <pivotArea type="data" outline="0" fieldPosition="0">
        <references count="2">
          <reference field="4294967294" count="1" selected="0">
            <x v="0"/>
          </reference>
          <reference field="2" count="1" selected="0">
            <x v="158"/>
          </reference>
        </references>
      </pivotArea>
    </chartFormat>
    <chartFormat chart="4" format="4250">
      <pivotArea type="data" outline="0" fieldPosition="0">
        <references count="2">
          <reference field="4294967294" count="1" selected="0">
            <x v="0"/>
          </reference>
          <reference field="2" count="1" selected="0">
            <x v="72"/>
          </reference>
        </references>
      </pivotArea>
    </chartFormat>
    <chartFormat chart="4" format="4251">
      <pivotArea type="data" outline="0" fieldPosition="0">
        <references count="2">
          <reference field="4294967294" count="1" selected="0">
            <x v="0"/>
          </reference>
          <reference field="2" count="1" selected="0">
            <x v="162"/>
          </reference>
        </references>
      </pivotArea>
    </chartFormat>
    <chartFormat chart="4" format="4252">
      <pivotArea type="data" outline="0" fieldPosition="0">
        <references count="2">
          <reference field="4294967294" count="1" selected="0">
            <x v="0"/>
          </reference>
          <reference field="2" count="1" selected="0">
            <x v="73"/>
          </reference>
        </references>
      </pivotArea>
    </chartFormat>
    <chartFormat chart="4" format="4253">
      <pivotArea type="data" outline="0" fieldPosition="0">
        <references count="2">
          <reference field="4294967294" count="1" selected="0">
            <x v="0"/>
          </reference>
          <reference field="2" count="1" selected="0">
            <x v="166"/>
          </reference>
        </references>
      </pivotArea>
    </chartFormat>
    <chartFormat chart="4" format="4254">
      <pivotArea type="data" outline="0" fieldPosition="0">
        <references count="2">
          <reference field="4294967294" count="1" selected="0">
            <x v="0"/>
          </reference>
          <reference field="2" count="1" selected="0">
            <x v="74"/>
          </reference>
        </references>
      </pivotArea>
    </chartFormat>
    <chartFormat chart="4" format="4255">
      <pivotArea type="data" outline="0" fieldPosition="0">
        <references count="2">
          <reference field="4294967294" count="1" selected="0">
            <x v="0"/>
          </reference>
          <reference field="2" count="1" selected="0">
            <x v="170"/>
          </reference>
        </references>
      </pivotArea>
    </chartFormat>
    <chartFormat chart="4" format="4256">
      <pivotArea type="data" outline="0" fieldPosition="0">
        <references count="2">
          <reference field="4294967294" count="1" selected="0">
            <x v="0"/>
          </reference>
          <reference field="2" count="1" selected="0">
            <x v="75"/>
          </reference>
        </references>
      </pivotArea>
    </chartFormat>
    <chartFormat chart="4" format="4257">
      <pivotArea type="data" outline="0" fieldPosition="0">
        <references count="2">
          <reference field="4294967294" count="1" selected="0">
            <x v="0"/>
          </reference>
          <reference field="2" count="1" selected="0">
            <x v="174"/>
          </reference>
        </references>
      </pivotArea>
    </chartFormat>
    <chartFormat chart="4" format="4258">
      <pivotArea type="data" outline="0" fieldPosition="0">
        <references count="2">
          <reference field="4294967294" count="1" selected="0">
            <x v="0"/>
          </reference>
          <reference field="2" count="1" selected="0">
            <x v="76"/>
          </reference>
        </references>
      </pivotArea>
    </chartFormat>
    <chartFormat chart="4" format="4259">
      <pivotArea type="data" outline="0" fieldPosition="0">
        <references count="2">
          <reference field="4294967294" count="1" selected="0">
            <x v="0"/>
          </reference>
          <reference field="2" count="1" selected="0">
            <x v="178"/>
          </reference>
        </references>
      </pivotArea>
    </chartFormat>
    <chartFormat chart="4" format="4260">
      <pivotArea type="data" outline="0" fieldPosition="0">
        <references count="2">
          <reference field="4294967294" count="1" selected="0">
            <x v="0"/>
          </reference>
          <reference field="2" count="1" selected="0">
            <x v="77"/>
          </reference>
        </references>
      </pivotArea>
    </chartFormat>
    <chartFormat chart="4" format="4261">
      <pivotArea type="data" outline="0" fieldPosition="0">
        <references count="2">
          <reference field="4294967294" count="1" selected="0">
            <x v="0"/>
          </reference>
          <reference field="2" count="1" selected="0">
            <x v="182"/>
          </reference>
        </references>
      </pivotArea>
    </chartFormat>
    <chartFormat chart="4" format="4262">
      <pivotArea type="data" outline="0" fieldPosition="0">
        <references count="2">
          <reference field="4294967294" count="1" selected="0">
            <x v="0"/>
          </reference>
          <reference field="2" count="1" selected="0">
            <x v="78"/>
          </reference>
        </references>
      </pivotArea>
    </chartFormat>
    <chartFormat chart="4" format="4263">
      <pivotArea type="data" outline="0" fieldPosition="0">
        <references count="2">
          <reference field="4294967294" count="1" selected="0">
            <x v="0"/>
          </reference>
          <reference field="2" count="1" selected="0">
            <x v="186"/>
          </reference>
        </references>
      </pivotArea>
    </chartFormat>
    <chartFormat chart="4" format="4264">
      <pivotArea type="data" outline="0" fieldPosition="0">
        <references count="2">
          <reference field="4294967294" count="1" selected="0">
            <x v="0"/>
          </reference>
          <reference field="2" count="1" selected="0">
            <x v="79"/>
          </reference>
        </references>
      </pivotArea>
    </chartFormat>
    <chartFormat chart="4" format="4265">
      <pivotArea type="data" outline="0" fieldPosition="0">
        <references count="2">
          <reference field="4294967294" count="1" selected="0">
            <x v="0"/>
          </reference>
          <reference field="2" count="1" selected="0">
            <x v="190"/>
          </reference>
        </references>
      </pivotArea>
    </chartFormat>
    <chartFormat chart="4" format="4266">
      <pivotArea type="data" outline="0" fieldPosition="0">
        <references count="2">
          <reference field="4294967294" count="1" selected="0">
            <x v="0"/>
          </reference>
          <reference field="2" count="1" selected="0">
            <x v="80"/>
          </reference>
        </references>
      </pivotArea>
    </chartFormat>
    <chartFormat chart="4" format="4267">
      <pivotArea type="data" outline="0" fieldPosition="0">
        <references count="2">
          <reference field="4294967294" count="1" selected="0">
            <x v="0"/>
          </reference>
          <reference field="2" count="1" selected="0">
            <x v="194"/>
          </reference>
        </references>
      </pivotArea>
    </chartFormat>
    <chartFormat chart="4" format="4268">
      <pivotArea type="data" outline="0" fieldPosition="0">
        <references count="2">
          <reference field="4294967294" count="1" selected="0">
            <x v="0"/>
          </reference>
          <reference field="2" count="1" selected="0">
            <x v="23"/>
          </reference>
        </references>
      </pivotArea>
    </chartFormat>
    <chartFormat chart="4" format="4269">
      <pivotArea type="data" outline="0" fieldPosition="0">
        <references count="2">
          <reference field="4294967294" count="1" selected="0">
            <x v="0"/>
          </reference>
          <reference field="2" count="1" selected="0">
            <x v="198"/>
          </reference>
        </references>
      </pivotArea>
    </chartFormat>
    <chartFormat chart="4" format="4270">
      <pivotArea type="data" outline="0" fieldPosition="0">
        <references count="2">
          <reference field="4294967294" count="1" selected="0">
            <x v="0"/>
          </reference>
          <reference field="2" count="1" selected="0">
            <x v="82"/>
          </reference>
        </references>
      </pivotArea>
    </chartFormat>
    <chartFormat chart="4" format="4271">
      <pivotArea type="data" outline="0" fieldPosition="0">
        <references count="2">
          <reference field="4294967294" count="1" selected="0">
            <x v="0"/>
          </reference>
          <reference field="2" count="1" selected="0">
            <x v="202"/>
          </reference>
        </references>
      </pivotArea>
    </chartFormat>
    <chartFormat chart="4" format="4272">
      <pivotArea type="data" outline="0" fieldPosition="0">
        <references count="2">
          <reference field="4294967294" count="1" selected="0">
            <x v="0"/>
          </reference>
          <reference field="2" count="1" selected="0">
            <x v="83"/>
          </reference>
        </references>
      </pivotArea>
    </chartFormat>
    <chartFormat chart="4" format="4273">
      <pivotArea type="data" outline="0" fieldPosition="0">
        <references count="2">
          <reference field="4294967294" count="1" selected="0">
            <x v="0"/>
          </reference>
          <reference field="2" count="1" selected="0">
            <x v="206"/>
          </reference>
        </references>
      </pivotArea>
    </chartFormat>
    <chartFormat chart="4" format="4274">
      <pivotArea type="data" outline="0" fieldPosition="0">
        <references count="2">
          <reference field="4294967294" count="1" selected="0">
            <x v="0"/>
          </reference>
          <reference field="2" count="1" selected="0">
            <x v="84"/>
          </reference>
        </references>
      </pivotArea>
    </chartFormat>
    <chartFormat chart="4" format="4275">
      <pivotArea type="data" outline="0" fieldPosition="0">
        <references count="2">
          <reference field="4294967294" count="1" selected="0">
            <x v="0"/>
          </reference>
          <reference field="2" count="1" selected="0">
            <x v="210"/>
          </reference>
        </references>
      </pivotArea>
    </chartFormat>
    <chartFormat chart="4" format="4276">
      <pivotArea type="data" outline="0" fieldPosition="0">
        <references count="2">
          <reference field="4294967294" count="1" selected="0">
            <x v="0"/>
          </reference>
          <reference field="2" count="1" selected="0">
            <x v="85"/>
          </reference>
        </references>
      </pivotArea>
    </chartFormat>
    <chartFormat chart="4" format="4277">
      <pivotArea type="data" outline="0" fieldPosition="0">
        <references count="2">
          <reference field="4294967294" count="1" selected="0">
            <x v="0"/>
          </reference>
          <reference field="2" count="1" selected="0">
            <x v="214"/>
          </reference>
        </references>
      </pivotArea>
    </chartFormat>
    <chartFormat chart="4" format="4278">
      <pivotArea type="data" outline="0" fieldPosition="0">
        <references count="2">
          <reference field="4294967294" count="1" selected="0">
            <x v="0"/>
          </reference>
          <reference field="2" count="1" selected="0">
            <x v="14"/>
          </reference>
        </references>
      </pivotArea>
    </chartFormat>
    <chartFormat chart="4" format="4279">
      <pivotArea type="data" outline="0" fieldPosition="0">
        <references count="2">
          <reference field="4294967294" count="1" selected="0">
            <x v="0"/>
          </reference>
          <reference field="2" count="1" selected="0">
            <x v="218"/>
          </reference>
        </references>
      </pivotArea>
    </chartFormat>
    <chartFormat chart="4" format="4280">
      <pivotArea type="data" outline="0" fieldPosition="0">
        <references count="2">
          <reference field="4294967294" count="1" selected="0">
            <x v="0"/>
          </reference>
          <reference field="2" count="1" selected="0">
            <x v="87"/>
          </reference>
        </references>
      </pivotArea>
    </chartFormat>
    <chartFormat chart="4" format="4281">
      <pivotArea type="data" outline="0" fieldPosition="0">
        <references count="2">
          <reference field="4294967294" count="1" selected="0">
            <x v="0"/>
          </reference>
          <reference field="2" count="1" selected="0">
            <x v="222"/>
          </reference>
        </references>
      </pivotArea>
    </chartFormat>
    <chartFormat chart="4" format="4282">
      <pivotArea type="data" outline="0" fieldPosition="0">
        <references count="2">
          <reference field="4294967294" count="1" selected="0">
            <x v="0"/>
          </reference>
          <reference field="2" count="1" selected="0">
            <x v="88"/>
          </reference>
        </references>
      </pivotArea>
    </chartFormat>
    <chartFormat chart="4" format="4283">
      <pivotArea type="data" outline="0" fieldPosition="0">
        <references count="2">
          <reference field="4294967294" count="1" selected="0">
            <x v="0"/>
          </reference>
          <reference field="2" count="1" selected="0">
            <x v="226"/>
          </reference>
        </references>
      </pivotArea>
    </chartFormat>
    <chartFormat chart="4" format="4284">
      <pivotArea type="data" outline="0" fieldPosition="0">
        <references count="2">
          <reference field="4294967294" count="1" selected="0">
            <x v="0"/>
          </reference>
          <reference field="2" count="1" selected="0">
            <x v="15"/>
          </reference>
        </references>
      </pivotArea>
    </chartFormat>
    <chartFormat chart="4" format="4285">
      <pivotArea type="data" outline="0" fieldPosition="0">
        <references count="2">
          <reference field="4294967294" count="1" selected="0">
            <x v="0"/>
          </reference>
          <reference field="2" count="1" selected="0">
            <x v="1"/>
          </reference>
        </references>
      </pivotArea>
    </chartFormat>
    <chartFormat chart="4" format="4286">
      <pivotArea type="data" outline="0" fieldPosition="0">
        <references count="2">
          <reference field="4294967294" count="1" selected="0">
            <x v="0"/>
          </reference>
          <reference field="2" count="1" selected="0">
            <x v="90"/>
          </reference>
        </references>
      </pivotArea>
    </chartFormat>
    <chartFormat chart="4" format="4287">
      <pivotArea type="data" outline="0" fieldPosition="0">
        <references count="2">
          <reference field="4294967294" count="1" selected="0">
            <x v="0"/>
          </reference>
          <reference field="2" count="1" selected="0">
            <x v="234"/>
          </reference>
        </references>
      </pivotArea>
    </chartFormat>
    <chartFormat chart="4" format="4288">
      <pivotArea type="data" outline="0" fieldPosition="0">
        <references count="2">
          <reference field="4294967294" count="1" selected="0">
            <x v="0"/>
          </reference>
          <reference field="2" count="1" selected="0">
            <x v="91"/>
          </reference>
        </references>
      </pivotArea>
    </chartFormat>
    <chartFormat chart="4" format="4289">
      <pivotArea type="data" outline="0" fieldPosition="0">
        <references count="2">
          <reference field="4294967294" count="1" selected="0">
            <x v="0"/>
          </reference>
          <reference field="2" count="1" selected="0">
            <x v="238"/>
          </reference>
        </references>
      </pivotArea>
    </chartFormat>
    <chartFormat chart="4" format="4290">
      <pivotArea type="data" outline="0" fieldPosition="0">
        <references count="2">
          <reference field="4294967294" count="1" selected="0">
            <x v="0"/>
          </reference>
          <reference field="2" count="1" selected="0">
            <x v="92"/>
          </reference>
        </references>
      </pivotArea>
    </chartFormat>
    <chartFormat chart="4" format="4291">
      <pivotArea type="data" outline="0" fieldPosition="0">
        <references count="2">
          <reference field="4294967294" count="1" selected="0">
            <x v="0"/>
          </reference>
          <reference field="2" count="1" selected="0">
            <x v="242"/>
          </reference>
        </references>
      </pivotArea>
    </chartFormat>
    <chartFormat chart="4" format="4292">
      <pivotArea type="data" outline="0" fieldPosition="0">
        <references count="2">
          <reference field="4294967294" count="1" selected="0">
            <x v="0"/>
          </reference>
          <reference field="2" count="1" selected="0">
            <x v="93"/>
          </reference>
        </references>
      </pivotArea>
    </chartFormat>
    <chartFormat chart="4" format="4293">
      <pivotArea type="data" outline="0" fieldPosition="0">
        <references count="2">
          <reference field="4294967294" count="1" selected="0">
            <x v="0"/>
          </reference>
          <reference field="2" count="1" selected="0">
            <x v="246"/>
          </reference>
        </references>
      </pivotArea>
    </chartFormat>
    <chartFormat chart="4" format="4294">
      <pivotArea type="data" outline="0" fieldPosition="0">
        <references count="2">
          <reference field="4294967294" count="1" selected="0">
            <x v="0"/>
          </reference>
          <reference field="2" count="1" selected="0">
            <x v="94"/>
          </reference>
        </references>
      </pivotArea>
    </chartFormat>
    <chartFormat chart="4" format="4295">
      <pivotArea type="data" outline="0" fieldPosition="0">
        <references count="2">
          <reference field="4294967294" count="1" selected="0">
            <x v="0"/>
          </reference>
          <reference field="2" count="1" selected="0">
            <x v="250"/>
          </reference>
        </references>
      </pivotArea>
    </chartFormat>
    <chartFormat chart="4" format="4296">
      <pivotArea type="data" outline="0" fieldPosition="0">
        <references count="2">
          <reference field="4294967294" count="1" selected="0">
            <x v="0"/>
          </reference>
          <reference field="2" count="1" selected="0">
            <x v="26"/>
          </reference>
        </references>
      </pivotArea>
    </chartFormat>
    <chartFormat chart="4" format="4297">
      <pivotArea type="data" outline="0" fieldPosition="0">
        <references count="2">
          <reference field="4294967294" count="1" selected="0">
            <x v="0"/>
          </reference>
          <reference field="2" count="1" selected="0">
            <x v="7"/>
          </reference>
        </references>
      </pivotArea>
    </chartFormat>
    <chartFormat chart="4" format="4298">
      <pivotArea type="data" outline="0" fieldPosition="0">
        <references count="2">
          <reference field="4294967294" count="1" selected="0">
            <x v="0"/>
          </reference>
          <reference field="2" count="1" selected="0">
            <x v="96"/>
          </reference>
        </references>
      </pivotArea>
    </chartFormat>
    <chartFormat chart="4" format="4299">
      <pivotArea type="data" outline="0" fieldPosition="0">
        <references count="2">
          <reference field="4294967294" count="1" selected="0">
            <x v="0"/>
          </reference>
          <reference field="2" count="1" selected="0">
            <x v="258"/>
          </reference>
        </references>
      </pivotArea>
    </chartFormat>
    <chartFormat chart="4" format="4300">
      <pivotArea type="data" outline="0" fieldPosition="0">
        <references count="2">
          <reference field="4294967294" count="1" selected="0">
            <x v="0"/>
          </reference>
          <reference field="2" count="1" selected="0">
            <x v="97"/>
          </reference>
        </references>
      </pivotArea>
    </chartFormat>
    <chartFormat chart="4" format="4301">
      <pivotArea type="data" outline="0" fieldPosition="0">
        <references count="2">
          <reference field="4294967294" count="1" selected="0">
            <x v="0"/>
          </reference>
          <reference field="2" count="1" selected="0">
            <x v="262"/>
          </reference>
        </references>
      </pivotArea>
    </chartFormat>
    <chartFormat chart="4" format="4302">
      <pivotArea type="data" outline="0" fieldPosition="0">
        <references count="2">
          <reference field="4294967294" count="1" selected="0">
            <x v="0"/>
          </reference>
          <reference field="2" count="1" selected="0">
            <x v="27"/>
          </reference>
        </references>
      </pivotArea>
    </chartFormat>
    <chartFormat chart="4" format="4303">
      <pivotArea type="data" outline="0" fieldPosition="0">
        <references count="2">
          <reference field="4294967294" count="1" selected="0">
            <x v="0"/>
          </reference>
          <reference field="2" count="1" selected="0">
            <x v="155"/>
          </reference>
        </references>
      </pivotArea>
    </chartFormat>
    <chartFormat chart="4" format="4304">
      <pivotArea type="data" outline="0" fieldPosition="0">
        <references count="2">
          <reference field="4294967294" count="1" selected="0">
            <x v="0"/>
          </reference>
          <reference field="2" count="1" selected="0">
            <x v="99"/>
          </reference>
        </references>
      </pivotArea>
    </chartFormat>
    <chartFormat chart="4" format="4305">
      <pivotArea type="data" outline="0" fieldPosition="0">
        <references count="2">
          <reference field="4294967294" count="1" selected="0">
            <x v="0"/>
          </reference>
          <reference field="2" count="1" selected="0">
            <x v="157"/>
          </reference>
        </references>
      </pivotArea>
    </chartFormat>
    <chartFormat chart="4" format="4306">
      <pivotArea type="data" outline="0" fieldPosition="0">
        <references count="2">
          <reference field="4294967294" count="1" selected="0">
            <x v="0"/>
          </reference>
          <reference field="2" count="1" selected="0">
            <x v="28"/>
          </reference>
        </references>
      </pivotArea>
    </chartFormat>
    <chartFormat chart="4" format="4307">
      <pivotArea type="data" outline="0" fieldPosition="0">
        <references count="2">
          <reference field="4294967294" count="1" selected="0">
            <x v="0"/>
          </reference>
          <reference field="2" count="1" selected="0">
            <x v="159"/>
          </reference>
        </references>
      </pivotArea>
    </chartFormat>
    <chartFormat chart="4" format="4308">
      <pivotArea type="data" outline="0" fieldPosition="0">
        <references count="2">
          <reference field="4294967294" count="1" selected="0">
            <x v="0"/>
          </reference>
          <reference field="2" count="1" selected="0">
            <x v="101"/>
          </reference>
        </references>
      </pivotArea>
    </chartFormat>
    <chartFormat chart="4" format="4309">
      <pivotArea type="data" outline="0" fieldPosition="0">
        <references count="2">
          <reference field="4294967294" count="1" selected="0">
            <x v="0"/>
          </reference>
          <reference field="2" count="1" selected="0">
            <x v="161"/>
          </reference>
        </references>
      </pivotArea>
    </chartFormat>
    <chartFormat chart="4" format="4310">
      <pivotArea type="data" outline="0" fieldPosition="0">
        <references count="2">
          <reference field="4294967294" count="1" selected="0">
            <x v="0"/>
          </reference>
          <reference field="2" count="1" selected="0">
            <x v="102"/>
          </reference>
        </references>
      </pivotArea>
    </chartFormat>
    <chartFormat chart="4" format="4311">
      <pivotArea type="data" outline="0" fieldPosition="0">
        <references count="2">
          <reference field="4294967294" count="1" selected="0">
            <x v="0"/>
          </reference>
          <reference field="2" count="1" selected="0">
            <x v="163"/>
          </reference>
        </references>
      </pivotArea>
    </chartFormat>
    <chartFormat chart="4" format="4312">
      <pivotArea type="data" outline="0" fieldPosition="0">
        <references count="2">
          <reference field="4294967294" count="1" selected="0">
            <x v="0"/>
          </reference>
          <reference field="2" count="1" selected="0">
            <x v="103"/>
          </reference>
        </references>
      </pivotArea>
    </chartFormat>
    <chartFormat chart="4" format="4313">
      <pivotArea type="data" outline="0" fieldPosition="0">
        <references count="2">
          <reference field="4294967294" count="1" selected="0">
            <x v="0"/>
          </reference>
          <reference field="2" count="1" selected="0">
            <x v="165"/>
          </reference>
        </references>
      </pivotArea>
    </chartFormat>
    <chartFormat chart="4" format="4314">
      <pivotArea type="data" outline="0" fieldPosition="0">
        <references count="2">
          <reference field="4294967294" count="1" selected="0">
            <x v="0"/>
          </reference>
          <reference field="2" count="1" selected="0">
            <x v="104"/>
          </reference>
        </references>
      </pivotArea>
    </chartFormat>
    <chartFormat chart="4" format="4315">
      <pivotArea type="data" outline="0" fieldPosition="0">
        <references count="2">
          <reference field="4294967294" count="1" selected="0">
            <x v="0"/>
          </reference>
          <reference field="2" count="1" selected="0">
            <x v="167"/>
          </reference>
        </references>
      </pivotArea>
    </chartFormat>
    <chartFormat chart="4" format="4316">
      <pivotArea type="data" outline="0" fieldPosition="0">
        <references count="2">
          <reference field="4294967294" count="1" selected="0">
            <x v="0"/>
          </reference>
          <reference field="2" count="1" selected="0">
            <x v="105"/>
          </reference>
        </references>
      </pivotArea>
    </chartFormat>
    <chartFormat chart="4" format="4317">
      <pivotArea type="data" outline="0" fieldPosition="0">
        <references count="2">
          <reference field="4294967294" count="1" selected="0">
            <x v="0"/>
          </reference>
          <reference field="2" count="1" selected="0">
            <x v="169"/>
          </reference>
        </references>
      </pivotArea>
    </chartFormat>
    <chartFormat chart="4" format="4318">
      <pivotArea type="data" outline="0" fieldPosition="0">
        <references count="2">
          <reference field="4294967294" count="1" selected="0">
            <x v="0"/>
          </reference>
          <reference field="2" count="1" selected="0">
            <x v="29"/>
          </reference>
        </references>
      </pivotArea>
    </chartFormat>
    <chartFormat chart="4" format="4319">
      <pivotArea type="data" outline="0" fieldPosition="0">
        <references count="2">
          <reference field="4294967294" count="1" selected="0">
            <x v="0"/>
          </reference>
          <reference field="2" count="1" selected="0">
            <x v="171"/>
          </reference>
        </references>
      </pivotArea>
    </chartFormat>
    <chartFormat chart="4" format="4320">
      <pivotArea type="data" outline="0" fieldPosition="0">
        <references count="2">
          <reference field="4294967294" count="1" selected="0">
            <x v="0"/>
          </reference>
          <reference field="2" count="1" selected="0">
            <x v="107"/>
          </reference>
        </references>
      </pivotArea>
    </chartFormat>
    <chartFormat chart="4" format="4321">
      <pivotArea type="data" outline="0" fieldPosition="0">
        <references count="2">
          <reference field="4294967294" count="1" selected="0">
            <x v="0"/>
          </reference>
          <reference field="2" count="1" selected="0">
            <x v="173"/>
          </reference>
        </references>
      </pivotArea>
    </chartFormat>
    <chartFormat chart="4" format="4322">
      <pivotArea type="data" outline="0" fieldPosition="0">
        <references count="2">
          <reference field="4294967294" count="1" selected="0">
            <x v="0"/>
          </reference>
          <reference field="2" count="1" selected="0">
            <x v="108"/>
          </reference>
        </references>
      </pivotArea>
    </chartFormat>
    <chartFormat chart="4" format="4323">
      <pivotArea type="data" outline="0" fieldPosition="0">
        <references count="2">
          <reference field="4294967294" count="1" selected="0">
            <x v="0"/>
          </reference>
          <reference field="2" count="1" selected="0">
            <x v="34"/>
          </reference>
        </references>
      </pivotArea>
    </chartFormat>
    <chartFormat chart="4" format="4324">
      <pivotArea type="data" outline="0" fieldPosition="0">
        <references count="2">
          <reference field="4294967294" count="1" selected="0">
            <x v="0"/>
          </reference>
          <reference field="2" count="1" selected="0">
            <x v="109"/>
          </reference>
        </references>
      </pivotArea>
    </chartFormat>
    <chartFormat chart="4" format="4325">
      <pivotArea type="data" outline="0" fieldPosition="0">
        <references count="2">
          <reference field="4294967294" count="1" selected="0">
            <x v="0"/>
          </reference>
          <reference field="2" count="1" selected="0">
            <x v="177"/>
          </reference>
        </references>
      </pivotArea>
    </chartFormat>
    <chartFormat chart="4" format="4326">
      <pivotArea type="data" outline="0" fieldPosition="0">
        <references count="2">
          <reference field="4294967294" count="1" selected="0">
            <x v="0"/>
          </reference>
          <reference field="2" count="1" selected="0">
            <x v="30"/>
          </reference>
        </references>
      </pivotArea>
    </chartFormat>
    <chartFormat chart="4" format="4327">
      <pivotArea type="data" outline="0" fieldPosition="0">
        <references count="2">
          <reference field="4294967294" count="1" selected="0">
            <x v="0"/>
          </reference>
          <reference field="2" count="1" selected="0">
            <x v="179"/>
          </reference>
        </references>
      </pivotArea>
    </chartFormat>
    <chartFormat chart="4" format="4328">
      <pivotArea type="data" outline="0" fieldPosition="0">
        <references count="2">
          <reference field="4294967294" count="1" selected="0">
            <x v="0"/>
          </reference>
          <reference field="2" count="1" selected="0">
            <x v="111"/>
          </reference>
        </references>
      </pivotArea>
    </chartFormat>
    <chartFormat chart="4" format="4329">
      <pivotArea type="data" outline="0" fieldPosition="0">
        <references count="2">
          <reference field="4294967294" count="1" selected="0">
            <x v="0"/>
          </reference>
          <reference field="2" count="1" selected="0">
            <x v="181"/>
          </reference>
        </references>
      </pivotArea>
    </chartFormat>
    <chartFormat chart="4" format="4330">
      <pivotArea type="data" outline="0" fieldPosition="0">
        <references count="2">
          <reference field="4294967294" count="1" selected="0">
            <x v="0"/>
          </reference>
          <reference field="2" count="1" selected="0">
            <x v="112"/>
          </reference>
        </references>
      </pivotArea>
    </chartFormat>
    <chartFormat chart="4" format="4331">
      <pivotArea type="data" outline="0" fieldPosition="0">
        <references count="2">
          <reference field="4294967294" count="1" selected="0">
            <x v="0"/>
          </reference>
          <reference field="2" count="1" selected="0">
            <x v="183"/>
          </reference>
        </references>
      </pivotArea>
    </chartFormat>
    <chartFormat chart="4" format="4332">
      <pivotArea type="data" outline="0" fieldPosition="0">
        <references count="2">
          <reference field="4294967294" count="1" selected="0">
            <x v="0"/>
          </reference>
          <reference field="2" count="1" selected="0">
            <x v="113"/>
          </reference>
        </references>
      </pivotArea>
    </chartFormat>
    <chartFormat chart="4" format="4333">
      <pivotArea type="data" outline="0" fieldPosition="0">
        <references count="2">
          <reference field="4294967294" count="1" selected="0">
            <x v="0"/>
          </reference>
          <reference field="2" count="1" selected="0">
            <x v="185"/>
          </reference>
        </references>
      </pivotArea>
    </chartFormat>
    <chartFormat chart="4" format="4334">
      <pivotArea type="data" outline="0" fieldPosition="0">
        <references count="2">
          <reference field="4294967294" count="1" selected="0">
            <x v="0"/>
          </reference>
          <reference field="2" count="1" selected="0">
            <x v="114"/>
          </reference>
        </references>
      </pivotArea>
    </chartFormat>
    <chartFormat chart="4" format="4335">
      <pivotArea type="data" outline="0" fieldPosition="0">
        <references count="2">
          <reference field="4294967294" count="1" selected="0">
            <x v="0"/>
          </reference>
          <reference field="2" count="1" selected="0">
            <x v="35"/>
          </reference>
        </references>
      </pivotArea>
    </chartFormat>
    <chartFormat chart="4" format="4336">
      <pivotArea type="data" outline="0" fieldPosition="0">
        <references count="2">
          <reference field="4294967294" count="1" selected="0">
            <x v="0"/>
          </reference>
          <reference field="2" count="1" selected="0">
            <x v="115"/>
          </reference>
        </references>
      </pivotArea>
    </chartFormat>
    <chartFormat chart="4" format="4337">
      <pivotArea type="data" outline="0" fieldPosition="0">
        <references count="2">
          <reference field="4294967294" count="1" selected="0">
            <x v="0"/>
          </reference>
          <reference field="2" count="1" selected="0">
            <x v="189"/>
          </reference>
        </references>
      </pivotArea>
    </chartFormat>
    <chartFormat chart="4" format="4338">
      <pivotArea type="data" outline="0" fieldPosition="0">
        <references count="2">
          <reference field="4294967294" count="1" selected="0">
            <x v="0"/>
          </reference>
          <reference field="2" count="1" selected="0">
            <x v="116"/>
          </reference>
        </references>
      </pivotArea>
    </chartFormat>
    <chartFormat chart="4" format="4339">
      <pivotArea type="data" outline="0" fieldPosition="0">
        <references count="2">
          <reference field="4294967294" count="1" selected="0">
            <x v="0"/>
          </reference>
          <reference field="2" count="1" selected="0">
            <x v="191"/>
          </reference>
        </references>
      </pivotArea>
    </chartFormat>
    <chartFormat chart="4" format="4340">
      <pivotArea type="data" outline="0" fieldPosition="0">
        <references count="2">
          <reference field="4294967294" count="1" selected="0">
            <x v="0"/>
          </reference>
          <reference field="2" count="1" selected="0">
            <x v="117"/>
          </reference>
        </references>
      </pivotArea>
    </chartFormat>
    <chartFormat chart="4" format="4341">
      <pivotArea type="data" outline="0" fieldPosition="0">
        <references count="2">
          <reference field="4294967294" count="1" selected="0">
            <x v="0"/>
          </reference>
          <reference field="2" count="1" selected="0">
            <x v="36"/>
          </reference>
        </references>
      </pivotArea>
    </chartFormat>
    <chartFormat chart="4" format="4342">
      <pivotArea type="data" outline="0" fieldPosition="0">
        <references count="2">
          <reference field="4294967294" count="1" selected="0">
            <x v="0"/>
          </reference>
          <reference field="2" count="1" selected="0">
            <x v="118"/>
          </reference>
        </references>
      </pivotArea>
    </chartFormat>
    <chartFormat chart="4" format="4343">
      <pivotArea type="data" outline="0" fieldPosition="0">
        <references count="2">
          <reference field="4294967294" count="1" selected="0">
            <x v="0"/>
          </reference>
          <reference field="2" count="1" selected="0">
            <x v="195"/>
          </reference>
        </references>
      </pivotArea>
    </chartFormat>
    <chartFormat chart="4" format="4344">
      <pivotArea type="data" outline="0" fieldPosition="0">
        <references count="2">
          <reference field="4294967294" count="1" selected="0">
            <x v="0"/>
          </reference>
          <reference field="2" count="1" selected="0">
            <x v="3"/>
          </reference>
        </references>
      </pivotArea>
    </chartFormat>
    <chartFormat chart="4" format="4345">
      <pivotArea type="data" outline="0" fieldPosition="0">
        <references count="2">
          <reference field="4294967294" count="1" selected="0">
            <x v="0"/>
          </reference>
          <reference field="2" count="1" selected="0">
            <x v="197"/>
          </reference>
        </references>
      </pivotArea>
    </chartFormat>
    <chartFormat chart="4" format="4346">
      <pivotArea type="data" outline="0" fieldPosition="0">
        <references count="2">
          <reference field="4294967294" count="1" selected="0">
            <x v="0"/>
          </reference>
          <reference field="2" count="1" selected="0">
            <x v="120"/>
          </reference>
        </references>
      </pivotArea>
    </chartFormat>
    <chartFormat chart="4" format="4347">
      <pivotArea type="data" outline="0" fieldPosition="0">
        <references count="2">
          <reference field="4294967294" count="1" selected="0">
            <x v="0"/>
          </reference>
          <reference field="2" count="1" selected="0">
            <x v="37"/>
          </reference>
        </references>
      </pivotArea>
    </chartFormat>
    <chartFormat chart="4" format="4348">
      <pivotArea type="data" outline="0" fieldPosition="0">
        <references count="2">
          <reference field="4294967294" count="1" selected="0">
            <x v="0"/>
          </reference>
          <reference field="2" count="1" selected="0">
            <x v="121"/>
          </reference>
        </references>
      </pivotArea>
    </chartFormat>
    <chartFormat chart="4" format="4349">
      <pivotArea type="data" outline="0" fieldPosition="0">
        <references count="2">
          <reference field="4294967294" count="1" selected="0">
            <x v="0"/>
          </reference>
          <reference field="2" count="1" selected="0">
            <x v="201"/>
          </reference>
        </references>
      </pivotArea>
    </chartFormat>
    <chartFormat chart="4" format="4350">
      <pivotArea type="data" outline="0" fieldPosition="0">
        <references count="2">
          <reference field="4294967294" count="1" selected="0">
            <x v="0"/>
          </reference>
          <reference field="2" count="1" selected="0">
            <x v="122"/>
          </reference>
        </references>
      </pivotArea>
    </chartFormat>
    <chartFormat chart="4" format="4351">
      <pivotArea type="data" outline="0" fieldPosition="0">
        <references count="2">
          <reference field="4294967294" count="1" selected="0">
            <x v="0"/>
          </reference>
          <reference field="2" count="1" selected="0">
            <x v="203"/>
          </reference>
        </references>
      </pivotArea>
    </chartFormat>
    <chartFormat chart="4" format="4352">
      <pivotArea type="data" outline="0" fieldPosition="0">
        <references count="2">
          <reference field="4294967294" count="1" selected="0">
            <x v="0"/>
          </reference>
          <reference field="2" count="1" selected="0">
            <x v="123"/>
          </reference>
        </references>
      </pivotArea>
    </chartFormat>
    <chartFormat chart="4" format="4353">
      <pivotArea type="data" outline="0" fieldPosition="0">
        <references count="2">
          <reference field="4294967294" count="1" selected="0">
            <x v="0"/>
          </reference>
          <reference field="2" count="1" selected="0">
            <x v="205"/>
          </reference>
        </references>
      </pivotArea>
    </chartFormat>
    <chartFormat chart="4" format="4354">
      <pivotArea type="data" outline="0" fieldPosition="0">
        <references count="2">
          <reference field="4294967294" count="1" selected="0">
            <x v="0"/>
          </reference>
          <reference field="2" count="1" selected="0">
            <x v="124"/>
          </reference>
        </references>
      </pivotArea>
    </chartFormat>
    <chartFormat chart="4" format="4355">
      <pivotArea type="data" outline="0" fieldPosition="0">
        <references count="2">
          <reference field="4294967294" count="1" selected="0">
            <x v="0"/>
          </reference>
          <reference field="2" count="1" selected="0">
            <x v="207"/>
          </reference>
        </references>
      </pivotArea>
    </chartFormat>
    <chartFormat chart="4" format="4356">
      <pivotArea type="data" outline="0" fieldPosition="0">
        <references count="2">
          <reference field="4294967294" count="1" selected="0">
            <x v="0"/>
          </reference>
          <reference field="2" count="1" selected="0">
            <x v="12"/>
          </reference>
        </references>
      </pivotArea>
    </chartFormat>
    <chartFormat chart="4" format="4357">
      <pivotArea type="data" outline="0" fieldPosition="0">
        <references count="2">
          <reference field="4294967294" count="1" selected="0">
            <x v="0"/>
          </reference>
          <reference field="2" count="1" selected="0">
            <x v="209"/>
          </reference>
        </references>
      </pivotArea>
    </chartFormat>
    <chartFormat chart="4" format="4358">
      <pivotArea type="data" outline="0" fieldPosition="0">
        <references count="2">
          <reference field="4294967294" count="1" selected="0">
            <x v="0"/>
          </reference>
          <reference field="2" count="1" selected="0">
            <x v="126"/>
          </reference>
        </references>
      </pivotArea>
    </chartFormat>
    <chartFormat chart="4" format="4359">
      <pivotArea type="data" outline="0" fieldPosition="0">
        <references count="2">
          <reference field="4294967294" count="1" selected="0">
            <x v="0"/>
          </reference>
          <reference field="2" count="1" selected="0">
            <x v="211"/>
          </reference>
        </references>
      </pivotArea>
    </chartFormat>
    <chartFormat chart="4" format="4360">
      <pivotArea type="data" outline="0" fieldPosition="0">
        <references count="2">
          <reference field="4294967294" count="1" selected="0">
            <x v="0"/>
          </reference>
          <reference field="2" count="1" selected="0">
            <x v="127"/>
          </reference>
        </references>
      </pivotArea>
    </chartFormat>
    <chartFormat chart="4" format="4361">
      <pivotArea type="data" outline="0" fieldPosition="0">
        <references count="2">
          <reference field="4294967294" count="1" selected="0">
            <x v="0"/>
          </reference>
          <reference field="2" count="1" selected="0">
            <x v="213"/>
          </reference>
        </references>
      </pivotArea>
    </chartFormat>
    <chartFormat chart="4" format="4362">
      <pivotArea type="data" outline="0" fieldPosition="0">
        <references count="2">
          <reference field="4294967294" count="1" selected="0">
            <x v="0"/>
          </reference>
          <reference field="2" count="1" selected="0">
            <x v="128"/>
          </reference>
        </references>
      </pivotArea>
    </chartFormat>
    <chartFormat chart="4" format="4363">
      <pivotArea type="data" outline="0" fieldPosition="0">
        <references count="2">
          <reference field="4294967294" count="1" selected="0">
            <x v="0"/>
          </reference>
          <reference field="2" count="1" selected="0">
            <x v="215"/>
          </reference>
        </references>
      </pivotArea>
    </chartFormat>
    <chartFormat chart="4" format="4364">
      <pivotArea type="data" outline="0" fieldPosition="0">
        <references count="2">
          <reference field="4294967294" count="1" selected="0">
            <x v="0"/>
          </reference>
          <reference field="2" count="1" selected="0">
            <x v="129"/>
          </reference>
        </references>
      </pivotArea>
    </chartFormat>
    <chartFormat chart="4" format="4365">
      <pivotArea type="data" outline="0" fieldPosition="0">
        <references count="2">
          <reference field="4294967294" count="1" selected="0">
            <x v="0"/>
          </reference>
          <reference field="2" count="1" selected="0">
            <x v="217"/>
          </reference>
        </references>
      </pivotArea>
    </chartFormat>
    <chartFormat chart="4" format="4366">
      <pivotArea type="data" outline="0" fieldPosition="0">
        <references count="2">
          <reference field="4294967294" count="1" selected="0">
            <x v="0"/>
          </reference>
          <reference field="2" count="1" selected="0">
            <x v="130"/>
          </reference>
        </references>
      </pivotArea>
    </chartFormat>
    <chartFormat chart="4" format="4367">
      <pivotArea type="data" outline="0" fieldPosition="0">
        <references count="2">
          <reference field="4294967294" count="1" selected="0">
            <x v="0"/>
          </reference>
          <reference field="2" count="1" selected="0">
            <x v="219"/>
          </reference>
        </references>
      </pivotArea>
    </chartFormat>
    <chartFormat chart="4" format="4368">
      <pivotArea type="data" outline="0" fieldPosition="0">
        <references count="2">
          <reference field="4294967294" count="1" selected="0">
            <x v="0"/>
          </reference>
          <reference field="2" count="1" selected="0">
            <x v="131"/>
          </reference>
        </references>
      </pivotArea>
    </chartFormat>
    <chartFormat chart="4" format="4369">
      <pivotArea type="data" outline="0" fieldPosition="0">
        <references count="2">
          <reference field="4294967294" count="1" selected="0">
            <x v="0"/>
          </reference>
          <reference field="2" count="1" selected="0">
            <x v="221"/>
          </reference>
        </references>
      </pivotArea>
    </chartFormat>
    <chartFormat chart="4" format="4370">
      <pivotArea type="data" outline="0" fieldPosition="0">
        <references count="2">
          <reference field="4294967294" count="1" selected="0">
            <x v="0"/>
          </reference>
          <reference field="2" count="1" selected="0">
            <x v="265"/>
          </reference>
        </references>
      </pivotArea>
    </chartFormat>
    <chartFormat chart="4" format="4371">
      <pivotArea type="data" outline="0" fieldPosition="0">
        <references count="2">
          <reference field="4294967294" count="1" selected="0">
            <x v="0"/>
          </reference>
          <reference field="2" count="1" selected="0">
            <x v="223"/>
          </reference>
        </references>
      </pivotArea>
    </chartFormat>
    <chartFormat chart="4" format="4372">
      <pivotArea type="data" outline="0" fieldPosition="0">
        <references count="2">
          <reference field="4294967294" count="1" selected="0">
            <x v="0"/>
          </reference>
          <reference field="2" count="1" selected="0">
            <x v="267"/>
          </reference>
        </references>
      </pivotArea>
    </chartFormat>
    <chartFormat chart="4" format="4373">
      <pivotArea type="data" outline="0" fieldPosition="0">
        <references count="2">
          <reference field="4294967294" count="1" selected="0">
            <x v="0"/>
          </reference>
          <reference field="2" count="1" selected="0">
            <x v="225"/>
          </reference>
        </references>
      </pivotArea>
    </chartFormat>
    <chartFormat chart="4" format="4374">
      <pivotArea type="data" outline="0" fieldPosition="0">
        <references count="2">
          <reference field="4294967294" count="1" selected="0">
            <x v="0"/>
          </reference>
          <reference field="2" count="1" selected="0">
            <x v="269"/>
          </reference>
        </references>
      </pivotArea>
    </chartFormat>
    <chartFormat chart="4" format="4375">
      <pivotArea type="data" outline="0" fieldPosition="0">
        <references count="2">
          <reference field="4294967294" count="1" selected="0">
            <x v="0"/>
          </reference>
          <reference field="2" count="1" selected="0">
            <x v="227"/>
          </reference>
        </references>
      </pivotArea>
    </chartFormat>
    <chartFormat chart="4" format="4376">
      <pivotArea type="data" outline="0" fieldPosition="0">
        <references count="2">
          <reference field="4294967294" count="1" selected="0">
            <x v="0"/>
          </reference>
          <reference field="2" count="1" selected="0">
            <x v="271"/>
          </reference>
        </references>
      </pivotArea>
    </chartFormat>
    <chartFormat chart="4" format="4377">
      <pivotArea type="data" outline="0" fieldPosition="0">
        <references count="2">
          <reference field="4294967294" count="1" selected="0">
            <x v="0"/>
          </reference>
          <reference field="2" count="1" selected="0">
            <x v="229"/>
          </reference>
        </references>
      </pivotArea>
    </chartFormat>
    <chartFormat chart="4" format="4378">
      <pivotArea type="data" outline="0" fieldPosition="0">
        <references count="2">
          <reference field="4294967294" count="1" selected="0">
            <x v="0"/>
          </reference>
          <reference field="2" count="1" selected="0">
            <x v="263"/>
          </reference>
        </references>
      </pivotArea>
    </chartFormat>
    <chartFormat chart="4" format="4379">
      <pivotArea type="data" outline="0" fieldPosition="0">
        <references count="2">
          <reference field="4294967294" count="1" selected="0">
            <x v="0"/>
          </reference>
          <reference field="2" count="1" selected="0">
            <x v="40"/>
          </reference>
        </references>
      </pivotArea>
    </chartFormat>
    <chartFormat chart="4" format="4380">
      <pivotArea type="data" outline="0" fieldPosition="0">
        <references count="2">
          <reference field="4294967294" count="1" selected="0">
            <x v="0"/>
          </reference>
          <reference field="2" count="1" selected="0">
            <x v="10"/>
          </reference>
        </references>
      </pivotArea>
    </chartFormat>
    <chartFormat chart="4" format="4381">
      <pivotArea type="data" outline="0" fieldPosition="0">
        <references count="2">
          <reference field="4294967294" count="1" selected="0">
            <x v="0"/>
          </reference>
          <reference field="2" count="1" selected="0">
            <x v="233"/>
          </reference>
        </references>
      </pivotArea>
    </chartFormat>
    <chartFormat chart="4" format="4382">
      <pivotArea type="data" outline="0" fieldPosition="0">
        <references count="2">
          <reference field="4294967294" count="1" selected="0">
            <x v="0"/>
          </reference>
          <reference field="2" count="1" selected="0">
            <x v="138"/>
          </reference>
        </references>
      </pivotArea>
    </chartFormat>
    <chartFormat chart="4" format="4383">
      <pivotArea type="data" outline="0" fieldPosition="0">
        <references count="2">
          <reference field="4294967294" count="1" selected="0">
            <x v="0"/>
          </reference>
          <reference field="2" count="1" selected="0">
            <x v="235"/>
          </reference>
        </references>
      </pivotArea>
    </chartFormat>
    <chartFormat chart="4" format="4384">
      <pivotArea type="data" outline="0" fieldPosition="0">
        <references count="2">
          <reference field="4294967294" count="1" selected="0">
            <x v="0"/>
          </reference>
          <reference field="2" count="1" selected="0">
            <x v="139"/>
          </reference>
        </references>
      </pivotArea>
    </chartFormat>
    <chartFormat chart="4" format="4385">
      <pivotArea type="data" outline="0" fieldPosition="0">
        <references count="2">
          <reference field="4294967294" count="1" selected="0">
            <x v="0"/>
          </reference>
          <reference field="2" count="1" selected="0">
            <x v="237"/>
          </reference>
        </references>
      </pivotArea>
    </chartFormat>
    <chartFormat chart="4" format="4386">
      <pivotArea type="data" outline="0" fieldPosition="0">
        <references count="2">
          <reference field="4294967294" count="1" selected="0">
            <x v="0"/>
          </reference>
          <reference field="2" count="1" selected="0">
            <x v="140"/>
          </reference>
        </references>
      </pivotArea>
    </chartFormat>
    <chartFormat chart="4" format="4387">
      <pivotArea type="data" outline="0" fieldPosition="0">
        <references count="2">
          <reference field="4294967294" count="1" selected="0">
            <x v="0"/>
          </reference>
          <reference field="2" count="1" selected="0">
            <x v="239"/>
          </reference>
        </references>
      </pivotArea>
    </chartFormat>
    <chartFormat chart="4" format="4388">
      <pivotArea type="data" outline="0" fieldPosition="0">
        <references count="2">
          <reference field="4294967294" count="1" selected="0">
            <x v="0"/>
          </reference>
          <reference field="2" count="1" selected="0">
            <x v="4"/>
          </reference>
        </references>
      </pivotArea>
    </chartFormat>
    <chartFormat chart="4" format="4389">
      <pivotArea type="data" outline="0" fieldPosition="0">
        <references count="2">
          <reference field="4294967294" count="1" selected="0">
            <x v="0"/>
          </reference>
          <reference field="2" count="1" selected="0">
            <x v="241"/>
          </reference>
        </references>
      </pivotArea>
    </chartFormat>
    <chartFormat chart="4" format="4390">
      <pivotArea type="data" outline="0" fieldPosition="0">
        <references count="2">
          <reference field="4294967294" count="1" selected="0">
            <x v="0"/>
          </reference>
          <reference field="2" count="1" selected="0">
            <x v="142"/>
          </reference>
        </references>
      </pivotArea>
    </chartFormat>
    <chartFormat chart="4" format="4391">
      <pivotArea type="data" outline="0" fieldPosition="0">
        <references count="2">
          <reference field="4294967294" count="1" selected="0">
            <x v="0"/>
          </reference>
          <reference field="2" count="1" selected="0">
            <x v="42"/>
          </reference>
        </references>
      </pivotArea>
    </chartFormat>
    <chartFormat chart="4" format="4392">
      <pivotArea type="data" outline="0" fieldPosition="0">
        <references count="2">
          <reference field="4294967294" count="1" selected="0">
            <x v="0"/>
          </reference>
          <reference field="2" count="1" selected="0">
            <x v="143"/>
          </reference>
        </references>
      </pivotArea>
    </chartFormat>
    <chartFormat chart="4" format="4393">
      <pivotArea type="data" outline="0" fieldPosition="0">
        <references count="2">
          <reference field="4294967294" count="1" selected="0">
            <x v="0"/>
          </reference>
          <reference field="2" count="1" selected="0">
            <x v="245"/>
          </reference>
        </references>
      </pivotArea>
    </chartFormat>
    <chartFormat chart="4" format="4394">
      <pivotArea type="data" outline="0" fieldPosition="0">
        <references count="2">
          <reference field="4294967294" count="1" selected="0">
            <x v="0"/>
          </reference>
          <reference field="2" count="1" selected="0">
            <x v="144"/>
          </reference>
        </references>
      </pivotArea>
    </chartFormat>
    <chartFormat chart="4" format="4395">
      <pivotArea type="data" outline="0" fieldPosition="0">
        <references count="2">
          <reference field="4294967294" count="1" selected="0">
            <x v="0"/>
          </reference>
          <reference field="2" count="1" selected="0">
            <x v="11"/>
          </reference>
        </references>
      </pivotArea>
    </chartFormat>
    <chartFormat chart="4" format="4396">
      <pivotArea type="data" outline="0" fieldPosition="0">
        <references count="2">
          <reference field="4294967294" count="1" selected="0">
            <x v="0"/>
          </reference>
          <reference field="2" count="1" selected="0">
            <x v="145"/>
          </reference>
        </references>
      </pivotArea>
    </chartFormat>
    <chartFormat chart="4" format="4397">
      <pivotArea type="data" outline="0" fieldPosition="0">
        <references count="2">
          <reference field="4294967294" count="1" selected="0">
            <x v="0"/>
          </reference>
          <reference field="2" count="1" selected="0">
            <x v="249"/>
          </reference>
        </references>
      </pivotArea>
    </chartFormat>
    <chartFormat chart="4" format="4398">
      <pivotArea type="data" outline="0" fieldPosition="0">
        <references count="2">
          <reference field="4294967294" count="1" selected="0">
            <x v="0"/>
          </reference>
          <reference field="2" count="1" selected="0">
            <x v="32"/>
          </reference>
        </references>
      </pivotArea>
    </chartFormat>
    <chartFormat chart="4" format="4399">
      <pivotArea type="data" outline="0" fieldPosition="0">
        <references count="2">
          <reference field="4294967294" count="1" selected="0">
            <x v="0"/>
          </reference>
          <reference field="2" count="1" selected="0">
            <x v="44"/>
          </reference>
        </references>
      </pivotArea>
    </chartFormat>
    <chartFormat chart="4" format="4400">
      <pivotArea type="data" outline="0" fieldPosition="0">
        <references count="2">
          <reference field="4294967294" count="1" selected="0">
            <x v="0"/>
          </reference>
          <reference field="2" count="1" selected="0">
            <x v="147"/>
          </reference>
        </references>
      </pivotArea>
    </chartFormat>
    <chartFormat chart="4" format="4401">
      <pivotArea type="data" outline="0" fieldPosition="0">
        <references count="2">
          <reference field="4294967294" count="1" selected="0">
            <x v="0"/>
          </reference>
          <reference field="2" count="1" selected="0">
            <x v="253"/>
          </reference>
        </references>
      </pivotArea>
    </chartFormat>
    <chartFormat chart="4" format="4402">
      <pivotArea type="data" outline="0" fieldPosition="0">
        <references count="2">
          <reference field="4294967294" count="1" selected="0">
            <x v="0"/>
          </reference>
          <reference field="2" count="1" selected="0">
            <x v="148"/>
          </reference>
        </references>
      </pivotArea>
    </chartFormat>
    <chartFormat chart="4" format="4403">
      <pivotArea type="data" outline="0" fieldPosition="0">
        <references count="2">
          <reference field="4294967294" count="1" selected="0">
            <x v="0"/>
          </reference>
          <reference field="2" count="1" selected="0">
            <x v="255"/>
          </reference>
        </references>
      </pivotArea>
    </chartFormat>
    <chartFormat chart="4" format="4404">
      <pivotArea type="data" outline="0" fieldPosition="0">
        <references count="2">
          <reference field="4294967294" count="1" selected="0">
            <x v="0"/>
          </reference>
          <reference field="2" count="1" selected="0">
            <x v="149"/>
          </reference>
        </references>
      </pivotArea>
    </chartFormat>
    <chartFormat chart="4" format="4405">
      <pivotArea type="data" outline="0" fieldPosition="0">
        <references count="2">
          <reference field="4294967294" count="1" selected="0">
            <x v="0"/>
          </reference>
          <reference field="2" count="1" selected="0">
            <x v="257"/>
          </reference>
        </references>
      </pivotArea>
    </chartFormat>
    <chartFormat chart="4" format="4406">
      <pivotArea type="data" outline="0" fieldPosition="0">
        <references count="2">
          <reference field="4294967294" count="1" selected="0">
            <x v="0"/>
          </reference>
          <reference field="2" count="1" selected="0">
            <x v="150"/>
          </reference>
        </references>
      </pivotArea>
    </chartFormat>
    <chartFormat chart="4" format="4407">
      <pivotArea type="data" outline="0" fieldPosition="0">
        <references count="2">
          <reference field="4294967294" count="1" selected="0">
            <x v="0"/>
          </reference>
          <reference field="2" count="1" selected="0">
            <x v="259"/>
          </reference>
        </references>
      </pivotArea>
    </chartFormat>
    <chartFormat chart="4" format="4408">
      <pivotArea type="data" outline="0" fieldPosition="0">
        <references count="2">
          <reference field="4294967294" count="1" selected="0">
            <x v="0"/>
          </reference>
          <reference field="2" count="1" selected="0">
            <x v="151"/>
          </reference>
        </references>
      </pivotArea>
    </chartFormat>
    <chartFormat chart="4" format="4409">
      <pivotArea type="data" outline="0" fieldPosition="0">
        <references count="2">
          <reference field="4294967294" count="1" selected="0">
            <x v="0"/>
          </reference>
          <reference field="2" count="1" selected="0">
            <x v="8"/>
          </reference>
        </references>
      </pivotArea>
    </chartFormat>
    <chartFormat chart="4" format="4410">
      <pivotArea type="data" outline="0" fieldPosition="0">
        <references count="2">
          <reference field="4294967294" count="1" selected="0">
            <x v="0"/>
          </reference>
          <reference field="2" count="1" selected="0">
            <x v="152"/>
          </reference>
        </references>
      </pivotArea>
    </chartFormat>
    <chartFormat chart="4" format="4411">
      <pivotArea type="data" outline="0" fieldPosition="0">
        <references count="2">
          <reference field="4294967294" count="1" selected="0">
            <x v="0"/>
          </reference>
          <reference field="2" count="1" selected="0">
            <x v="18"/>
          </reference>
        </references>
      </pivotArea>
    </chartFormat>
    <chartFormat chart="4" format="4412">
      <pivotArea type="data" outline="0" fieldPosition="0">
        <references count="2">
          <reference field="4294967294" count="1" selected="0">
            <x v="0"/>
          </reference>
          <reference field="2" count="1" selected="0">
            <x v="33"/>
          </reference>
        </references>
      </pivotArea>
    </chartFormat>
    <chartFormat chart="4" format="4413">
      <pivotArea type="data" outline="0" fieldPosition="0">
        <references count="2">
          <reference field="4294967294" count="1" selected="0">
            <x v="0"/>
          </reference>
          <reference field="2" count="1" selected="0">
            <x v="273"/>
          </reference>
        </references>
      </pivotArea>
    </chartFormat>
    <chartFormat chart="4" format="4414">
      <pivotArea type="data" outline="0" fieldPosition="0">
        <references count="2">
          <reference field="4294967294" count="1" selected="0">
            <x v="0"/>
          </reference>
          <reference field="2" count="1" selected="0">
            <x v="275"/>
          </reference>
        </references>
      </pivotArea>
    </chartFormat>
    <chartFormat chart="4" format="4415">
      <pivotArea type="data" outline="0" fieldPosition="0">
        <references count="2">
          <reference field="4294967294" count="1" selected="0">
            <x v="0"/>
          </reference>
          <reference field="2" count="1" selected="0">
            <x v="132"/>
          </reference>
        </references>
      </pivotArea>
    </chartFormat>
    <chartFormat chart="4" format="4416">
      <pivotArea type="data" outline="0" fieldPosition="0">
        <references count="2">
          <reference field="4294967294" count="1" selected="0">
            <x v="0"/>
          </reference>
          <reference field="2" count="1" selected="0">
            <x v="268"/>
          </reference>
        </references>
      </pivotArea>
    </chartFormat>
    <chartFormat chart="4" format="4417">
      <pivotArea type="data" outline="0" fieldPosition="0">
        <references count="2">
          <reference field="4294967294" count="1" selected="0">
            <x v="0"/>
          </reference>
          <reference field="2" count="1" selected="0">
            <x v="133"/>
          </reference>
        </references>
      </pivotArea>
    </chartFormat>
    <chartFormat chart="4" format="4418">
      <pivotArea type="data" outline="0" fieldPosition="0">
        <references count="2">
          <reference field="4294967294" count="1" selected="0">
            <x v="0"/>
          </reference>
          <reference field="2" count="1" selected="0">
            <x v="270"/>
          </reference>
        </references>
      </pivotArea>
    </chartFormat>
    <chartFormat chart="4" format="4419">
      <pivotArea type="data" outline="0" fieldPosition="0">
        <references count="2">
          <reference field="4294967294" count="1" selected="0">
            <x v="0"/>
          </reference>
          <reference field="2" count="1" selected="0">
            <x v="134"/>
          </reference>
        </references>
      </pivotArea>
    </chartFormat>
    <chartFormat chart="4" format="4420">
      <pivotArea type="data" outline="0" fieldPosition="0">
        <references count="2">
          <reference field="4294967294" count="1" selected="0">
            <x v="0"/>
          </reference>
          <reference field="2" count="1" selected="0">
            <x v="272"/>
          </reference>
        </references>
      </pivotArea>
    </chartFormat>
    <chartFormat chart="4" format="4421">
      <pivotArea type="data" outline="0" fieldPosition="0">
        <references count="2">
          <reference field="4294967294" count="1" selected="0">
            <x v="0"/>
          </reference>
          <reference field="2" count="1" selected="0">
            <x v="135"/>
          </reference>
        </references>
      </pivotArea>
    </chartFormat>
    <chartFormat chart="4" format="4422">
      <pivotArea type="data" outline="0" fieldPosition="0">
        <references count="2">
          <reference field="4294967294" count="1" selected="0">
            <x v="0"/>
          </reference>
          <reference field="2" count="1" selected="0">
            <x v="274"/>
          </reference>
        </references>
      </pivotArea>
    </chartFormat>
    <chartFormat chart="4" format="4423">
      <pivotArea type="data" outline="0" fieldPosition="0">
        <references count="2">
          <reference field="4294967294" count="1" selected="0">
            <x v="0"/>
          </reference>
          <reference field="2" count="1" selected="0">
            <x v="136"/>
          </reference>
        </references>
      </pivotArea>
    </chartFormat>
    <chartFormat chart="4" format="4424">
      <pivotArea type="data" outline="0" fieldPosition="0">
        <references count="2">
          <reference field="4294967294" count="1" selected="0">
            <x v="0"/>
          </reference>
          <reference field="2" count="1" selected="0">
            <x v="0"/>
          </reference>
        </references>
      </pivotArea>
    </chartFormat>
    <chartFormat chart="4" format="4425">
      <pivotArea type="data" outline="0" fieldPosition="0">
        <references count="2">
          <reference field="4294967294" count="1" selected="0">
            <x v="0"/>
          </reference>
          <reference field="2" count="1" selected="0">
            <x v="137"/>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s_SQL" xr10:uid="{D719EABE-C202-4244-BC32-4516750E60EE}" sourceName="Requires SQL">
  <pivotTables>
    <pivotTable tabId="2" name="PivotTable3"/>
    <pivotTable tabId="2" name="PivotTable11"/>
    <pivotTable tabId="2" name="PivotTable5"/>
    <pivotTable tabId="2" name="PivotTable6"/>
  </pivotTables>
  <data>
    <tabular pivotCacheId="55969275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s_Python" xr10:uid="{7889CAC1-6C11-4F64-A21A-66ECA3FCB4B5}" sourceName="Requires Python">
  <pivotTables>
    <pivotTable tabId="2" name="PivotTable3"/>
    <pivotTable tabId="2" name="PivotTable11"/>
    <pivotTable tabId="2" name="PivotTable5"/>
    <pivotTable tabId="2" name="PivotTable6"/>
  </pivotTables>
  <data>
    <tabular pivotCacheId="55969275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s_Tableau" xr10:uid="{E37FD40B-7931-442C-9D37-5F58ED6875C1}" sourceName="Requires Tableau">
  <pivotTables>
    <pivotTable tabId="2" name="PivotTable3"/>
    <pivotTable tabId="2" name="PivotTable11"/>
    <pivotTable tabId="2" name="PivotTable5"/>
    <pivotTable tabId="2" name="PivotTable6"/>
  </pivotTables>
  <data>
    <tabular pivotCacheId="55969275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s_Power_BI" xr10:uid="{180A87C2-F854-4186-ACB4-2D0FEC00D352}" sourceName="Requires Power BI">
  <pivotTables>
    <pivotTable tabId="2" name="PivotTable3"/>
    <pivotTable tabId="2" name="PivotTable11"/>
    <pivotTable tabId="2" name="PivotTable5"/>
    <pivotTable tabId="2" name="PivotTable6"/>
  </pivotTables>
  <data>
    <tabular pivotCacheId="55969275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_Site" xr10:uid="{1B04851A-0ED1-47BB-9BBE-45988F589E19}" sourceName="On Site">
  <pivotTables>
    <pivotTable tabId="2" name="PivotTable5"/>
  </pivotTables>
  <data>
    <tabular pivotCacheId="5596927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ires SQL" xr10:uid="{8B3B98FA-96A1-4CDB-80BD-C13FF2B0B5C2}" cache="Slicer_Requires_SQL" caption="Requires SQL" rowHeight="257175"/>
  <slicer name="Requires Python" xr10:uid="{FEEF1CE9-661A-471A-941C-10800957F54B}" cache="Slicer_Requires_Python" caption="Requires Python" rowHeight="257175"/>
  <slicer name="Requires Tableau" xr10:uid="{006191F0-0910-4AAF-845F-91D6FB476F68}" cache="Slicer_Requires_Tableau" caption="Requires Tableau" rowHeight="257175"/>
  <slicer name="Requires Power BI" xr10:uid="{B8C99060-742C-4CEC-B8EA-16EA1859F12C}" cache="Slicer_Requires_Power_BI" caption="Requires Power BI" rowHeight="257175"/>
  <slicer name="On Site" xr10:uid="{6F8686F2-5DCB-4C97-BA2D-5BD915599A4E}" cache="Slicer_On_Site" caption="On Si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0"/>
  <sheetViews>
    <sheetView topLeftCell="A979" workbookViewId="0">
      <selection activeCell="I992" sqref="I992:I1074"/>
    </sheetView>
  </sheetViews>
  <sheetFormatPr defaultRowHeight="15" x14ac:dyDescent="0.25"/>
  <cols>
    <col min="1" max="1" width="16.42578125" bestFit="1" customWidth="1"/>
    <col min="2" max="2" width="16.42578125" style="5" bestFit="1" customWidth="1"/>
    <col min="3" max="5" width="16.42578125" bestFit="1" customWidth="1"/>
    <col min="6" max="7" width="16.42578125" style="4" bestFit="1" customWidth="1"/>
    <col min="8" max="8" width="16.42578125" style="4" customWidth="1"/>
    <col min="9" max="13" width="16.42578125" bestFit="1" customWidth="1"/>
  </cols>
  <sheetData>
    <row r="1" spans="1:13" x14ac:dyDescent="0.25">
      <c r="A1" t="s">
        <v>1161</v>
      </c>
      <c r="B1" s="5" t="s">
        <v>1162</v>
      </c>
      <c r="C1" t="s">
        <v>1163</v>
      </c>
      <c r="D1" t="s">
        <v>1164</v>
      </c>
      <c r="E1" t="s">
        <v>1165</v>
      </c>
      <c r="F1" s="4" t="s">
        <v>1166</v>
      </c>
      <c r="G1" s="4" t="s">
        <v>1167</v>
      </c>
      <c r="H1" s="4" t="s">
        <v>1179</v>
      </c>
      <c r="I1" t="s">
        <v>1168</v>
      </c>
      <c r="J1" t="s">
        <v>1169</v>
      </c>
      <c r="K1" t="s">
        <v>1170</v>
      </c>
      <c r="L1" t="s">
        <v>1171</v>
      </c>
      <c r="M1" t="s">
        <v>1172</v>
      </c>
    </row>
    <row r="2" spans="1:13" x14ac:dyDescent="0.25">
      <c r="A2" t="s">
        <v>0</v>
      </c>
      <c r="B2" s="5">
        <v>3.6</v>
      </c>
      <c r="C2" t="s">
        <v>1</v>
      </c>
      <c r="D2" t="s">
        <v>2</v>
      </c>
      <c r="E2" t="s">
        <v>3</v>
      </c>
      <c r="F2" s="4">
        <v>116000</v>
      </c>
      <c r="G2" s="4">
        <v>184000</v>
      </c>
      <c r="H2" s="4">
        <f>(F2+G2)/2</f>
        <v>150000</v>
      </c>
      <c r="I2">
        <v>0</v>
      </c>
      <c r="J2">
        <v>0</v>
      </c>
      <c r="K2">
        <v>0</v>
      </c>
      <c r="L2">
        <v>0</v>
      </c>
      <c r="M2">
        <v>1</v>
      </c>
    </row>
    <row r="3" spans="1:13" x14ac:dyDescent="0.25">
      <c r="A3" t="s">
        <v>0</v>
      </c>
      <c r="B3" s="5">
        <v>3.6</v>
      </c>
      <c r="C3" t="s">
        <v>1</v>
      </c>
      <c r="D3" t="s">
        <v>2</v>
      </c>
      <c r="E3" t="s">
        <v>3</v>
      </c>
      <c r="F3" s="4">
        <v>116000</v>
      </c>
      <c r="G3" s="4">
        <v>184000</v>
      </c>
      <c r="H3" s="4">
        <f t="shared" ref="H3:H66" si="0">(F3+G3)/2</f>
        <v>150000</v>
      </c>
      <c r="I3">
        <v>0</v>
      </c>
      <c r="J3">
        <v>0</v>
      </c>
      <c r="K3">
        <v>0</v>
      </c>
      <c r="L3">
        <v>0</v>
      </c>
      <c r="M3">
        <v>1</v>
      </c>
    </row>
    <row r="4" spans="1:13" x14ac:dyDescent="0.25">
      <c r="A4" t="s">
        <v>0</v>
      </c>
      <c r="B4" s="5">
        <v>4.4000000000000004</v>
      </c>
      <c r="C4" t="s">
        <v>4</v>
      </c>
      <c r="D4" t="s">
        <v>2</v>
      </c>
      <c r="E4" t="s">
        <v>3</v>
      </c>
      <c r="F4" s="4">
        <v>83000</v>
      </c>
      <c r="G4" s="4">
        <v>123000</v>
      </c>
      <c r="H4" s="4">
        <f t="shared" si="0"/>
        <v>103000</v>
      </c>
      <c r="I4">
        <v>0</v>
      </c>
      <c r="J4">
        <v>0</v>
      </c>
      <c r="K4">
        <v>0</v>
      </c>
      <c r="L4">
        <v>0</v>
      </c>
      <c r="M4">
        <v>1</v>
      </c>
    </row>
    <row r="5" spans="1:13" x14ac:dyDescent="0.25">
      <c r="A5" t="s">
        <v>0</v>
      </c>
      <c r="B5" s="5">
        <v>4.0999999999999996</v>
      </c>
      <c r="C5" t="s">
        <v>5</v>
      </c>
      <c r="D5" t="s">
        <v>2</v>
      </c>
      <c r="E5" t="s">
        <v>3</v>
      </c>
      <c r="F5" s="4">
        <v>59000</v>
      </c>
      <c r="G5" s="4">
        <v>130000</v>
      </c>
      <c r="H5" s="4">
        <f t="shared" si="0"/>
        <v>94500</v>
      </c>
      <c r="I5">
        <v>0</v>
      </c>
      <c r="J5">
        <v>0</v>
      </c>
      <c r="K5">
        <v>0</v>
      </c>
      <c r="L5">
        <v>0</v>
      </c>
      <c r="M5">
        <v>1</v>
      </c>
    </row>
    <row r="6" spans="1:13" x14ac:dyDescent="0.25">
      <c r="A6" t="s">
        <v>6</v>
      </c>
      <c r="B6" s="5">
        <v>3.4</v>
      </c>
      <c r="C6" t="s">
        <v>7</v>
      </c>
      <c r="D6" t="s">
        <v>8</v>
      </c>
      <c r="E6" t="s">
        <v>9</v>
      </c>
      <c r="F6" s="4">
        <v>103000</v>
      </c>
      <c r="G6" s="4">
        <v>148000</v>
      </c>
      <c r="H6" s="4">
        <f t="shared" si="0"/>
        <v>125500</v>
      </c>
      <c r="I6">
        <v>0</v>
      </c>
      <c r="J6">
        <v>1</v>
      </c>
      <c r="K6">
        <v>0</v>
      </c>
      <c r="L6">
        <v>0</v>
      </c>
      <c r="M6">
        <v>1</v>
      </c>
    </row>
    <row r="7" spans="1:13" x14ac:dyDescent="0.25">
      <c r="A7" t="s">
        <v>10</v>
      </c>
      <c r="B7" s="5">
        <v>3.3</v>
      </c>
      <c r="C7" t="s">
        <v>11</v>
      </c>
      <c r="D7" t="s">
        <v>8</v>
      </c>
      <c r="E7" t="s">
        <v>9</v>
      </c>
      <c r="F7" s="4">
        <v>85000</v>
      </c>
      <c r="G7" s="4">
        <v>127000</v>
      </c>
      <c r="H7" s="4">
        <f t="shared" si="0"/>
        <v>106000</v>
      </c>
      <c r="I7">
        <v>0</v>
      </c>
      <c r="J7">
        <v>1</v>
      </c>
      <c r="K7">
        <v>0</v>
      </c>
      <c r="L7">
        <v>0</v>
      </c>
      <c r="M7">
        <v>1</v>
      </c>
    </row>
    <row r="8" spans="1:13" x14ac:dyDescent="0.25">
      <c r="A8" t="s">
        <v>0</v>
      </c>
      <c r="B8" s="5">
        <v>4.0999999999999996</v>
      </c>
      <c r="C8" t="s">
        <v>12</v>
      </c>
      <c r="D8" t="s">
        <v>13</v>
      </c>
      <c r="E8" t="s">
        <v>9</v>
      </c>
      <c r="F8" s="4">
        <v>76000</v>
      </c>
      <c r="G8" s="4">
        <v>101000</v>
      </c>
      <c r="H8" s="4">
        <f t="shared" si="0"/>
        <v>88500</v>
      </c>
      <c r="I8">
        <v>0</v>
      </c>
      <c r="J8">
        <v>0</v>
      </c>
      <c r="K8">
        <v>0</v>
      </c>
      <c r="L8">
        <v>0</v>
      </c>
      <c r="M8">
        <v>1</v>
      </c>
    </row>
    <row r="9" spans="1:13" x14ac:dyDescent="0.25">
      <c r="A9" t="s">
        <v>0</v>
      </c>
      <c r="C9" t="s">
        <v>14</v>
      </c>
      <c r="D9" t="s">
        <v>15</v>
      </c>
      <c r="E9" t="s">
        <v>16</v>
      </c>
      <c r="F9" s="4">
        <v>106000</v>
      </c>
      <c r="G9" s="4">
        <v>168000</v>
      </c>
      <c r="H9" s="4">
        <f t="shared" si="0"/>
        <v>137000</v>
      </c>
      <c r="I9">
        <v>0</v>
      </c>
      <c r="J9">
        <v>0</v>
      </c>
      <c r="K9">
        <v>0</v>
      </c>
      <c r="L9">
        <v>0</v>
      </c>
      <c r="M9">
        <v>1</v>
      </c>
    </row>
    <row r="10" spans="1:13" x14ac:dyDescent="0.25">
      <c r="A10" t="s">
        <v>17</v>
      </c>
      <c r="B10" s="5">
        <v>4.5</v>
      </c>
      <c r="C10" t="s">
        <v>18</v>
      </c>
      <c r="D10" t="s">
        <v>15</v>
      </c>
      <c r="E10" t="s">
        <v>16</v>
      </c>
      <c r="F10" s="4">
        <v>79000</v>
      </c>
      <c r="G10" s="4">
        <v>114000</v>
      </c>
      <c r="H10" s="4">
        <f t="shared" si="0"/>
        <v>96500</v>
      </c>
      <c r="I10">
        <v>0</v>
      </c>
      <c r="J10">
        <v>0</v>
      </c>
      <c r="K10">
        <v>0</v>
      </c>
      <c r="L10">
        <v>0</v>
      </c>
      <c r="M10">
        <v>1</v>
      </c>
    </row>
    <row r="11" spans="1:13" x14ac:dyDescent="0.25">
      <c r="A11" t="s">
        <v>19</v>
      </c>
      <c r="B11" s="5">
        <v>4.0999999999999996</v>
      </c>
      <c r="C11" t="s">
        <v>20</v>
      </c>
      <c r="D11" t="s">
        <v>21</v>
      </c>
      <c r="E11" t="s">
        <v>16</v>
      </c>
      <c r="F11" s="4">
        <v>100000</v>
      </c>
      <c r="G11" s="4">
        <v>129000</v>
      </c>
      <c r="H11" s="4">
        <f t="shared" si="0"/>
        <v>114500</v>
      </c>
      <c r="I11">
        <v>0</v>
      </c>
      <c r="J11">
        <v>0</v>
      </c>
      <c r="K11">
        <v>0</v>
      </c>
      <c r="L11">
        <v>0</v>
      </c>
      <c r="M11">
        <v>1</v>
      </c>
    </row>
    <row r="12" spans="1:13" x14ac:dyDescent="0.25">
      <c r="A12" t="s">
        <v>22</v>
      </c>
      <c r="B12" s="5">
        <v>4.0999999999999996</v>
      </c>
      <c r="C12" t="s">
        <v>23</v>
      </c>
      <c r="D12" t="s">
        <v>21</v>
      </c>
      <c r="E12" t="s">
        <v>16</v>
      </c>
      <c r="F12" s="4">
        <v>92000</v>
      </c>
      <c r="G12" s="4">
        <v>122000</v>
      </c>
      <c r="H12" s="4">
        <f t="shared" si="0"/>
        <v>107000</v>
      </c>
      <c r="I12">
        <v>0</v>
      </c>
      <c r="J12">
        <v>0</v>
      </c>
      <c r="K12">
        <v>0</v>
      </c>
      <c r="L12">
        <v>0</v>
      </c>
      <c r="M12">
        <v>1</v>
      </c>
    </row>
    <row r="13" spans="1:13" x14ac:dyDescent="0.25">
      <c r="A13" t="s">
        <v>0</v>
      </c>
      <c r="B13" s="5">
        <v>3.3</v>
      </c>
      <c r="C13" t="s">
        <v>24</v>
      </c>
      <c r="D13" t="s">
        <v>21</v>
      </c>
      <c r="E13" t="s">
        <v>16</v>
      </c>
      <c r="F13" s="4">
        <v>84000</v>
      </c>
      <c r="G13" s="4">
        <v>121000</v>
      </c>
      <c r="H13" s="4">
        <f t="shared" si="0"/>
        <v>102500</v>
      </c>
      <c r="I13">
        <v>0</v>
      </c>
      <c r="J13">
        <v>0</v>
      </c>
      <c r="K13">
        <v>0</v>
      </c>
      <c r="L13">
        <v>0</v>
      </c>
      <c r="M13">
        <v>1</v>
      </c>
    </row>
    <row r="14" spans="1:13" x14ac:dyDescent="0.25">
      <c r="A14" t="s">
        <v>17</v>
      </c>
      <c r="B14" s="5">
        <v>4.2</v>
      </c>
      <c r="C14" t="s">
        <v>25</v>
      </c>
      <c r="D14" t="s">
        <v>21</v>
      </c>
      <c r="E14" t="s">
        <v>16</v>
      </c>
      <c r="F14" s="4">
        <v>80000</v>
      </c>
      <c r="G14" s="4">
        <v>113000</v>
      </c>
      <c r="H14" s="4">
        <f t="shared" si="0"/>
        <v>96500</v>
      </c>
      <c r="I14">
        <v>0</v>
      </c>
      <c r="J14">
        <v>0</v>
      </c>
      <c r="K14">
        <v>0</v>
      </c>
      <c r="L14">
        <v>0</v>
      </c>
      <c r="M14">
        <v>1</v>
      </c>
    </row>
    <row r="15" spans="1:13" x14ac:dyDescent="0.25">
      <c r="A15" t="s">
        <v>26</v>
      </c>
      <c r="B15" s="5">
        <v>4.0999999999999996</v>
      </c>
      <c r="C15" t="s">
        <v>27</v>
      </c>
      <c r="D15" t="s">
        <v>21</v>
      </c>
      <c r="E15" t="s">
        <v>16</v>
      </c>
      <c r="F15" s="4">
        <v>80000</v>
      </c>
      <c r="G15" s="4">
        <v>80000</v>
      </c>
      <c r="H15" s="4">
        <f t="shared" si="0"/>
        <v>80000</v>
      </c>
      <c r="I15">
        <v>0</v>
      </c>
      <c r="J15">
        <v>0</v>
      </c>
      <c r="K15">
        <v>0</v>
      </c>
      <c r="L15">
        <v>0</v>
      </c>
      <c r="M15">
        <v>1</v>
      </c>
    </row>
    <row r="16" spans="1:13" x14ac:dyDescent="0.25">
      <c r="A16" t="s">
        <v>28</v>
      </c>
      <c r="B16" s="5">
        <v>4.0999999999999996</v>
      </c>
      <c r="C16" t="s">
        <v>29</v>
      </c>
      <c r="D16" t="s">
        <v>21</v>
      </c>
      <c r="E16" t="s">
        <v>16</v>
      </c>
      <c r="F16" s="4">
        <v>52000</v>
      </c>
      <c r="G16" s="4">
        <v>200000</v>
      </c>
      <c r="H16" s="4">
        <f t="shared" si="0"/>
        <v>126000</v>
      </c>
      <c r="I16">
        <v>1</v>
      </c>
      <c r="J16">
        <v>0</v>
      </c>
      <c r="K16">
        <v>0</v>
      </c>
      <c r="L16">
        <v>0</v>
      </c>
      <c r="M16">
        <v>1</v>
      </c>
    </row>
    <row r="17" spans="1:13" x14ac:dyDescent="0.25">
      <c r="A17" t="s">
        <v>30</v>
      </c>
      <c r="B17" s="5">
        <v>4.3</v>
      </c>
      <c r="C17" t="s">
        <v>31</v>
      </c>
      <c r="D17" t="s">
        <v>32</v>
      </c>
      <c r="E17" t="s">
        <v>33</v>
      </c>
      <c r="F17" s="4">
        <v>145000</v>
      </c>
      <c r="G17" s="4">
        <v>145000</v>
      </c>
      <c r="H17" s="4">
        <f t="shared" si="0"/>
        <v>145000</v>
      </c>
      <c r="I17">
        <v>0</v>
      </c>
      <c r="J17">
        <v>0</v>
      </c>
      <c r="K17">
        <v>0</v>
      </c>
      <c r="L17">
        <v>0</v>
      </c>
      <c r="M17">
        <v>1</v>
      </c>
    </row>
    <row r="18" spans="1:13" x14ac:dyDescent="0.25">
      <c r="A18" t="s">
        <v>30</v>
      </c>
      <c r="B18" s="5">
        <v>4.3</v>
      </c>
      <c r="C18" t="s">
        <v>31</v>
      </c>
      <c r="D18" t="s">
        <v>32</v>
      </c>
      <c r="E18" t="s">
        <v>33</v>
      </c>
      <c r="F18" s="4">
        <v>145000</v>
      </c>
      <c r="G18" s="4">
        <v>145000</v>
      </c>
      <c r="H18" s="4">
        <f t="shared" si="0"/>
        <v>145000</v>
      </c>
      <c r="I18">
        <v>0</v>
      </c>
      <c r="J18">
        <v>0</v>
      </c>
      <c r="K18">
        <v>0</v>
      </c>
      <c r="L18">
        <v>0</v>
      </c>
      <c r="M18">
        <v>1</v>
      </c>
    </row>
    <row r="19" spans="1:13" x14ac:dyDescent="0.25">
      <c r="A19" t="s">
        <v>30</v>
      </c>
      <c r="B19" s="5">
        <v>4.3</v>
      </c>
      <c r="C19" t="s">
        <v>31</v>
      </c>
      <c r="D19" t="s">
        <v>32</v>
      </c>
      <c r="E19" t="s">
        <v>33</v>
      </c>
      <c r="F19" s="4">
        <v>145000</v>
      </c>
      <c r="G19" s="4">
        <v>145000</v>
      </c>
      <c r="H19" s="4">
        <f t="shared" si="0"/>
        <v>145000</v>
      </c>
      <c r="I19">
        <v>0</v>
      </c>
      <c r="J19">
        <v>0</v>
      </c>
      <c r="K19">
        <v>0</v>
      </c>
      <c r="L19">
        <v>0</v>
      </c>
      <c r="M19">
        <v>1</v>
      </c>
    </row>
    <row r="20" spans="1:13" x14ac:dyDescent="0.25">
      <c r="A20" t="s">
        <v>30</v>
      </c>
      <c r="B20" s="5">
        <v>4.3</v>
      </c>
      <c r="C20" t="s">
        <v>31</v>
      </c>
      <c r="D20" t="s">
        <v>32</v>
      </c>
      <c r="E20" t="s">
        <v>33</v>
      </c>
      <c r="F20" s="4">
        <v>145000</v>
      </c>
      <c r="G20" s="4">
        <v>145000</v>
      </c>
      <c r="H20" s="4">
        <f t="shared" si="0"/>
        <v>145000</v>
      </c>
      <c r="I20">
        <v>0</v>
      </c>
      <c r="J20">
        <v>0</v>
      </c>
      <c r="K20">
        <v>0</v>
      </c>
      <c r="L20">
        <v>0</v>
      </c>
      <c r="M20">
        <v>1</v>
      </c>
    </row>
    <row r="21" spans="1:13" x14ac:dyDescent="0.25">
      <c r="A21" t="s">
        <v>30</v>
      </c>
      <c r="B21" s="5">
        <v>4.3</v>
      </c>
      <c r="C21" t="s">
        <v>31</v>
      </c>
      <c r="D21" t="s">
        <v>32</v>
      </c>
      <c r="E21" t="s">
        <v>33</v>
      </c>
      <c r="F21" s="4">
        <v>145000</v>
      </c>
      <c r="G21" s="4">
        <v>145000</v>
      </c>
      <c r="H21" s="4">
        <f t="shared" si="0"/>
        <v>145000</v>
      </c>
      <c r="I21">
        <v>0</v>
      </c>
      <c r="J21">
        <v>0</v>
      </c>
      <c r="K21">
        <v>0</v>
      </c>
      <c r="L21">
        <v>0</v>
      </c>
      <c r="M21">
        <v>1</v>
      </c>
    </row>
    <row r="22" spans="1:13" x14ac:dyDescent="0.25">
      <c r="A22" t="s">
        <v>30</v>
      </c>
      <c r="B22" s="5">
        <v>4.3</v>
      </c>
      <c r="C22" t="s">
        <v>31</v>
      </c>
      <c r="D22" t="s">
        <v>32</v>
      </c>
      <c r="E22" t="s">
        <v>33</v>
      </c>
      <c r="F22" s="4">
        <v>145000</v>
      </c>
      <c r="G22" s="4">
        <v>145000</v>
      </c>
      <c r="H22" s="4">
        <f t="shared" si="0"/>
        <v>145000</v>
      </c>
      <c r="I22">
        <v>0</v>
      </c>
      <c r="J22">
        <v>0</v>
      </c>
      <c r="K22">
        <v>0</v>
      </c>
      <c r="L22">
        <v>0</v>
      </c>
      <c r="M22">
        <v>1</v>
      </c>
    </row>
    <row r="23" spans="1:13" x14ac:dyDescent="0.25">
      <c r="A23" t="s">
        <v>30</v>
      </c>
      <c r="B23" s="5">
        <v>4.3</v>
      </c>
      <c r="C23" t="s">
        <v>31</v>
      </c>
      <c r="D23" t="s">
        <v>32</v>
      </c>
      <c r="E23" t="s">
        <v>33</v>
      </c>
      <c r="F23" s="4">
        <v>145000</v>
      </c>
      <c r="G23" s="4">
        <v>145000</v>
      </c>
      <c r="H23" s="4">
        <f t="shared" si="0"/>
        <v>145000</v>
      </c>
      <c r="I23">
        <v>0</v>
      </c>
      <c r="J23">
        <v>0</v>
      </c>
      <c r="K23">
        <v>0</v>
      </c>
      <c r="L23">
        <v>0</v>
      </c>
      <c r="M23">
        <v>1</v>
      </c>
    </row>
    <row r="24" spans="1:13" x14ac:dyDescent="0.25">
      <c r="A24" t="s">
        <v>30</v>
      </c>
      <c r="B24" s="5">
        <v>4.3</v>
      </c>
      <c r="C24" t="s">
        <v>31</v>
      </c>
      <c r="D24" t="s">
        <v>32</v>
      </c>
      <c r="E24" t="s">
        <v>33</v>
      </c>
      <c r="F24" s="4">
        <v>145000</v>
      </c>
      <c r="G24" s="4">
        <v>145000</v>
      </c>
      <c r="H24" s="4">
        <f t="shared" si="0"/>
        <v>145000</v>
      </c>
      <c r="I24">
        <v>0</v>
      </c>
      <c r="J24">
        <v>0</v>
      </c>
      <c r="K24">
        <v>0</v>
      </c>
      <c r="L24">
        <v>0</v>
      </c>
      <c r="M24">
        <v>1</v>
      </c>
    </row>
    <row r="25" spans="1:13" x14ac:dyDescent="0.25">
      <c r="A25" t="s">
        <v>30</v>
      </c>
      <c r="B25" s="5">
        <v>4.3</v>
      </c>
      <c r="C25" t="s">
        <v>31</v>
      </c>
      <c r="D25" t="s">
        <v>32</v>
      </c>
      <c r="E25" t="s">
        <v>33</v>
      </c>
      <c r="F25" s="4">
        <v>145000</v>
      </c>
      <c r="G25" s="4">
        <v>145000</v>
      </c>
      <c r="H25" s="4">
        <f t="shared" si="0"/>
        <v>145000</v>
      </c>
      <c r="I25">
        <v>0</v>
      </c>
      <c r="J25">
        <v>0</v>
      </c>
      <c r="K25">
        <v>0</v>
      </c>
      <c r="L25">
        <v>0</v>
      </c>
      <c r="M25">
        <v>1</v>
      </c>
    </row>
    <row r="26" spans="1:13" x14ac:dyDescent="0.25">
      <c r="A26" t="s">
        <v>30</v>
      </c>
      <c r="B26" s="5">
        <v>4.3</v>
      </c>
      <c r="C26" t="s">
        <v>31</v>
      </c>
      <c r="D26" t="s">
        <v>32</v>
      </c>
      <c r="E26" t="s">
        <v>33</v>
      </c>
      <c r="F26" s="4">
        <v>145000</v>
      </c>
      <c r="G26" s="4">
        <v>145000</v>
      </c>
      <c r="H26" s="4">
        <f t="shared" si="0"/>
        <v>145000</v>
      </c>
      <c r="I26">
        <v>0</v>
      </c>
      <c r="J26">
        <v>0</v>
      </c>
      <c r="K26">
        <v>0</v>
      </c>
      <c r="L26">
        <v>0</v>
      </c>
      <c r="M26">
        <v>1</v>
      </c>
    </row>
    <row r="27" spans="1:13" x14ac:dyDescent="0.25">
      <c r="A27" t="s">
        <v>30</v>
      </c>
      <c r="B27" s="5">
        <v>4.3</v>
      </c>
      <c r="C27" t="s">
        <v>31</v>
      </c>
      <c r="D27" t="s">
        <v>32</v>
      </c>
      <c r="E27" t="s">
        <v>33</v>
      </c>
      <c r="F27" s="4">
        <v>145000</v>
      </c>
      <c r="G27" s="4">
        <v>145000</v>
      </c>
      <c r="H27" s="4">
        <f t="shared" si="0"/>
        <v>145000</v>
      </c>
      <c r="I27">
        <v>0</v>
      </c>
      <c r="J27">
        <v>0</v>
      </c>
      <c r="K27">
        <v>0</v>
      </c>
      <c r="L27">
        <v>0</v>
      </c>
      <c r="M27">
        <v>1</v>
      </c>
    </row>
    <row r="28" spans="1:13" x14ac:dyDescent="0.25">
      <c r="A28" t="s">
        <v>30</v>
      </c>
      <c r="B28" s="5">
        <v>4.3</v>
      </c>
      <c r="C28" t="s">
        <v>31</v>
      </c>
      <c r="D28" t="s">
        <v>32</v>
      </c>
      <c r="E28" t="s">
        <v>33</v>
      </c>
      <c r="F28" s="4">
        <v>145000</v>
      </c>
      <c r="G28" s="4">
        <v>145000</v>
      </c>
      <c r="H28" s="4">
        <f t="shared" si="0"/>
        <v>145000</v>
      </c>
      <c r="I28">
        <v>0</v>
      </c>
      <c r="J28">
        <v>0</v>
      </c>
      <c r="K28">
        <v>0</v>
      </c>
      <c r="L28">
        <v>0</v>
      </c>
      <c r="M28">
        <v>1</v>
      </c>
    </row>
    <row r="29" spans="1:13" x14ac:dyDescent="0.25">
      <c r="A29" t="s">
        <v>30</v>
      </c>
      <c r="B29" s="5">
        <v>4.3</v>
      </c>
      <c r="C29" t="s">
        <v>31</v>
      </c>
      <c r="D29" t="s">
        <v>32</v>
      </c>
      <c r="E29" t="s">
        <v>33</v>
      </c>
      <c r="F29" s="4">
        <v>145000</v>
      </c>
      <c r="G29" s="4">
        <v>145000</v>
      </c>
      <c r="H29" s="4">
        <f t="shared" si="0"/>
        <v>145000</v>
      </c>
      <c r="I29">
        <v>0</v>
      </c>
      <c r="J29">
        <v>0</v>
      </c>
      <c r="K29">
        <v>0</v>
      </c>
      <c r="L29">
        <v>0</v>
      </c>
      <c r="M29">
        <v>1</v>
      </c>
    </row>
    <row r="30" spans="1:13" x14ac:dyDescent="0.25">
      <c r="A30" t="s">
        <v>30</v>
      </c>
      <c r="B30" s="5">
        <v>4.3</v>
      </c>
      <c r="C30" t="s">
        <v>31</v>
      </c>
      <c r="D30" t="s">
        <v>32</v>
      </c>
      <c r="E30" t="s">
        <v>33</v>
      </c>
      <c r="F30" s="4">
        <v>145000</v>
      </c>
      <c r="G30" s="4">
        <v>145000</v>
      </c>
      <c r="H30" s="4">
        <f t="shared" si="0"/>
        <v>145000</v>
      </c>
      <c r="I30">
        <v>0</v>
      </c>
      <c r="J30">
        <v>0</v>
      </c>
      <c r="K30">
        <v>0</v>
      </c>
      <c r="L30">
        <v>0</v>
      </c>
      <c r="M30">
        <v>1</v>
      </c>
    </row>
    <row r="31" spans="1:13" x14ac:dyDescent="0.25">
      <c r="A31" t="s">
        <v>30</v>
      </c>
      <c r="B31" s="5">
        <v>4.3</v>
      </c>
      <c r="C31" t="s">
        <v>31</v>
      </c>
      <c r="D31" t="s">
        <v>32</v>
      </c>
      <c r="E31" t="s">
        <v>33</v>
      </c>
      <c r="F31" s="4">
        <v>145000</v>
      </c>
      <c r="G31" s="4">
        <v>145000</v>
      </c>
      <c r="H31" s="4">
        <f t="shared" si="0"/>
        <v>145000</v>
      </c>
      <c r="I31">
        <v>0</v>
      </c>
      <c r="J31">
        <v>0</v>
      </c>
      <c r="K31">
        <v>0</v>
      </c>
      <c r="L31">
        <v>0</v>
      </c>
      <c r="M31">
        <v>1</v>
      </c>
    </row>
    <row r="32" spans="1:13" x14ac:dyDescent="0.25">
      <c r="A32" t="s">
        <v>30</v>
      </c>
      <c r="B32" s="5">
        <v>4.3</v>
      </c>
      <c r="C32" t="s">
        <v>31</v>
      </c>
      <c r="D32" t="s">
        <v>32</v>
      </c>
      <c r="E32" t="s">
        <v>33</v>
      </c>
      <c r="F32" s="4">
        <v>145000</v>
      </c>
      <c r="G32" s="4">
        <v>145000</v>
      </c>
      <c r="H32" s="4">
        <f t="shared" si="0"/>
        <v>145000</v>
      </c>
      <c r="I32">
        <v>0</v>
      </c>
      <c r="J32">
        <v>0</v>
      </c>
      <c r="K32">
        <v>0</v>
      </c>
      <c r="L32">
        <v>0</v>
      </c>
      <c r="M32">
        <v>1</v>
      </c>
    </row>
    <row r="33" spans="1:13" x14ac:dyDescent="0.25">
      <c r="A33" t="s">
        <v>30</v>
      </c>
      <c r="B33" s="5">
        <v>4.3</v>
      </c>
      <c r="C33" t="s">
        <v>31</v>
      </c>
      <c r="D33" t="s">
        <v>32</v>
      </c>
      <c r="E33" t="s">
        <v>33</v>
      </c>
      <c r="F33" s="4">
        <v>145000</v>
      </c>
      <c r="G33" s="4">
        <v>145000</v>
      </c>
      <c r="H33" s="4">
        <f t="shared" si="0"/>
        <v>145000</v>
      </c>
      <c r="I33">
        <v>0</v>
      </c>
      <c r="J33">
        <v>0</v>
      </c>
      <c r="K33">
        <v>0</v>
      </c>
      <c r="L33">
        <v>0</v>
      </c>
      <c r="M33">
        <v>1</v>
      </c>
    </row>
    <row r="34" spans="1:13" x14ac:dyDescent="0.25">
      <c r="A34" t="s">
        <v>30</v>
      </c>
      <c r="B34" s="5">
        <v>4.3</v>
      </c>
      <c r="C34" t="s">
        <v>31</v>
      </c>
      <c r="D34" t="s">
        <v>32</v>
      </c>
      <c r="E34" t="s">
        <v>33</v>
      </c>
      <c r="F34" s="4">
        <v>145000</v>
      </c>
      <c r="G34" s="4">
        <v>145000</v>
      </c>
      <c r="H34" s="4">
        <f t="shared" si="0"/>
        <v>145000</v>
      </c>
      <c r="I34">
        <v>0</v>
      </c>
      <c r="J34">
        <v>0</v>
      </c>
      <c r="K34">
        <v>0</v>
      </c>
      <c r="L34">
        <v>0</v>
      </c>
      <c r="M34">
        <v>1</v>
      </c>
    </row>
    <row r="35" spans="1:13" x14ac:dyDescent="0.25">
      <c r="A35" t="s">
        <v>30</v>
      </c>
      <c r="B35" s="5">
        <v>4.3</v>
      </c>
      <c r="C35" t="s">
        <v>31</v>
      </c>
      <c r="D35" t="s">
        <v>32</v>
      </c>
      <c r="E35" t="s">
        <v>33</v>
      </c>
      <c r="F35" s="4">
        <v>145000</v>
      </c>
      <c r="G35" s="4">
        <v>145000</v>
      </c>
      <c r="H35" s="4">
        <f t="shared" si="0"/>
        <v>145000</v>
      </c>
      <c r="I35">
        <v>0</v>
      </c>
      <c r="J35">
        <v>0</v>
      </c>
      <c r="K35">
        <v>0</v>
      </c>
      <c r="L35">
        <v>0</v>
      </c>
      <c r="M35">
        <v>1</v>
      </c>
    </row>
    <row r="36" spans="1:13" x14ac:dyDescent="0.25">
      <c r="A36" t="s">
        <v>34</v>
      </c>
      <c r="B36" s="5">
        <v>2.8</v>
      </c>
      <c r="C36" t="s">
        <v>35</v>
      </c>
      <c r="D36" t="s">
        <v>36</v>
      </c>
      <c r="E36" t="s">
        <v>33</v>
      </c>
      <c r="F36" s="4">
        <v>150000</v>
      </c>
      <c r="G36" s="4">
        <v>219000</v>
      </c>
      <c r="H36" s="4">
        <f t="shared" si="0"/>
        <v>184500</v>
      </c>
      <c r="I36">
        <v>0</v>
      </c>
      <c r="J36">
        <v>0</v>
      </c>
      <c r="K36">
        <v>0</v>
      </c>
      <c r="L36">
        <v>0</v>
      </c>
      <c r="M36">
        <v>1</v>
      </c>
    </row>
    <row r="37" spans="1:13" x14ac:dyDescent="0.25">
      <c r="A37" t="s">
        <v>0</v>
      </c>
      <c r="B37" s="5">
        <v>3.8</v>
      </c>
      <c r="C37" t="s">
        <v>37</v>
      </c>
      <c r="D37" t="s">
        <v>36</v>
      </c>
      <c r="E37" t="s">
        <v>33</v>
      </c>
      <c r="F37" s="4">
        <v>82000</v>
      </c>
      <c r="G37" s="4">
        <v>164000</v>
      </c>
      <c r="H37" s="4">
        <f t="shared" si="0"/>
        <v>123000</v>
      </c>
      <c r="I37">
        <v>0</v>
      </c>
      <c r="J37">
        <v>0</v>
      </c>
      <c r="K37">
        <v>0</v>
      </c>
      <c r="L37">
        <v>0</v>
      </c>
      <c r="M37">
        <v>1</v>
      </c>
    </row>
    <row r="38" spans="1:13" x14ac:dyDescent="0.25">
      <c r="A38" t="s">
        <v>38</v>
      </c>
      <c r="B38" s="5">
        <v>4</v>
      </c>
      <c r="C38" t="s">
        <v>39</v>
      </c>
      <c r="D38" t="s">
        <v>40</v>
      </c>
      <c r="E38" t="s">
        <v>33</v>
      </c>
      <c r="F38" s="4">
        <v>110000</v>
      </c>
      <c r="G38" s="4">
        <v>134000</v>
      </c>
      <c r="H38" s="4">
        <f t="shared" si="0"/>
        <v>122000</v>
      </c>
      <c r="I38">
        <v>0</v>
      </c>
      <c r="J38">
        <v>0</v>
      </c>
      <c r="K38">
        <v>0</v>
      </c>
      <c r="L38">
        <v>0</v>
      </c>
      <c r="M38">
        <v>1</v>
      </c>
    </row>
    <row r="39" spans="1:13" x14ac:dyDescent="0.25">
      <c r="A39" t="s">
        <v>41</v>
      </c>
      <c r="C39" t="s">
        <v>42</v>
      </c>
      <c r="D39" t="s">
        <v>43</v>
      </c>
      <c r="E39" t="s">
        <v>33</v>
      </c>
      <c r="F39" s="4">
        <v>109000</v>
      </c>
      <c r="G39" s="4">
        <v>173000</v>
      </c>
      <c r="H39" s="4">
        <f t="shared" si="0"/>
        <v>141000</v>
      </c>
      <c r="I39">
        <v>0</v>
      </c>
      <c r="J39">
        <v>0</v>
      </c>
      <c r="K39">
        <v>0</v>
      </c>
      <c r="L39">
        <v>0</v>
      </c>
      <c r="M39">
        <v>1</v>
      </c>
    </row>
    <row r="40" spans="1:13" x14ac:dyDescent="0.25">
      <c r="A40" t="s">
        <v>44</v>
      </c>
      <c r="B40" s="5">
        <v>3.6</v>
      </c>
      <c r="C40" t="s">
        <v>45</v>
      </c>
      <c r="D40" t="s">
        <v>46</v>
      </c>
      <c r="E40" t="s">
        <v>33</v>
      </c>
      <c r="F40" s="4">
        <v>96000</v>
      </c>
      <c r="G40" s="4">
        <v>134000</v>
      </c>
      <c r="H40" s="4">
        <f t="shared" si="0"/>
        <v>115000</v>
      </c>
      <c r="I40">
        <v>0</v>
      </c>
      <c r="J40">
        <v>0</v>
      </c>
      <c r="K40">
        <v>0</v>
      </c>
      <c r="L40">
        <v>0</v>
      </c>
      <c r="M40">
        <v>1</v>
      </c>
    </row>
    <row r="41" spans="1:13" x14ac:dyDescent="0.25">
      <c r="A41" t="s">
        <v>47</v>
      </c>
      <c r="B41" s="5">
        <v>3.9</v>
      </c>
      <c r="C41" t="s">
        <v>48</v>
      </c>
      <c r="D41" t="s">
        <v>49</v>
      </c>
      <c r="E41" t="s">
        <v>33</v>
      </c>
      <c r="F41" s="4">
        <v>132000</v>
      </c>
      <c r="G41" s="4">
        <v>196000</v>
      </c>
      <c r="H41" s="4">
        <f t="shared" si="0"/>
        <v>164000</v>
      </c>
      <c r="I41">
        <v>0</v>
      </c>
      <c r="J41">
        <v>0</v>
      </c>
      <c r="K41">
        <v>0</v>
      </c>
      <c r="L41">
        <v>0</v>
      </c>
      <c r="M41">
        <v>1</v>
      </c>
    </row>
    <row r="42" spans="1:13" x14ac:dyDescent="0.25">
      <c r="A42" t="s">
        <v>0</v>
      </c>
      <c r="B42" s="5">
        <v>2.7</v>
      </c>
      <c r="C42" t="s">
        <v>50</v>
      </c>
      <c r="D42" t="s">
        <v>51</v>
      </c>
      <c r="E42" t="s">
        <v>33</v>
      </c>
      <c r="F42" s="4">
        <v>90000</v>
      </c>
      <c r="G42" s="4">
        <v>120000</v>
      </c>
      <c r="H42" s="4">
        <f t="shared" si="0"/>
        <v>105000</v>
      </c>
      <c r="I42">
        <v>0</v>
      </c>
      <c r="J42">
        <v>0</v>
      </c>
      <c r="K42">
        <v>0</v>
      </c>
      <c r="L42">
        <v>0</v>
      </c>
      <c r="M42">
        <v>1</v>
      </c>
    </row>
    <row r="43" spans="1:13" x14ac:dyDescent="0.25">
      <c r="A43" t="s">
        <v>30</v>
      </c>
      <c r="B43" s="5">
        <v>4</v>
      </c>
      <c r="C43" t="s">
        <v>52</v>
      </c>
      <c r="D43" t="s">
        <v>53</v>
      </c>
      <c r="E43" t="s">
        <v>33</v>
      </c>
      <c r="F43" s="4">
        <v>143000</v>
      </c>
      <c r="G43" s="4">
        <v>203000</v>
      </c>
      <c r="H43" s="4">
        <f t="shared" si="0"/>
        <v>173000</v>
      </c>
      <c r="I43">
        <v>0</v>
      </c>
      <c r="J43">
        <v>0</v>
      </c>
      <c r="K43">
        <v>0</v>
      </c>
      <c r="L43">
        <v>0</v>
      </c>
      <c r="M43">
        <v>1</v>
      </c>
    </row>
    <row r="44" spans="1:13" x14ac:dyDescent="0.25">
      <c r="A44" t="s">
        <v>0</v>
      </c>
      <c r="B44" s="5">
        <v>4.0999999999999996</v>
      </c>
      <c r="C44" t="s">
        <v>54</v>
      </c>
      <c r="D44" t="s">
        <v>55</v>
      </c>
      <c r="E44" t="s">
        <v>33</v>
      </c>
      <c r="F44" s="4">
        <v>151840</v>
      </c>
      <c r="G44" s="4">
        <v>158080</v>
      </c>
      <c r="H44" s="4">
        <f t="shared" si="0"/>
        <v>154960</v>
      </c>
      <c r="I44">
        <v>0</v>
      </c>
      <c r="J44">
        <v>0</v>
      </c>
      <c r="K44">
        <v>0</v>
      </c>
      <c r="L44">
        <v>0</v>
      </c>
      <c r="M44">
        <v>1</v>
      </c>
    </row>
    <row r="45" spans="1:13" x14ac:dyDescent="0.25">
      <c r="A45" t="s">
        <v>56</v>
      </c>
      <c r="B45" s="5">
        <v>3.9</v>
      </c>
      <c r="C45" t="s">
        <v>57</v>
      </c>
      <c r="D45" t="s">
        <v>58</v>
      </c>
      <c r="E45" t="s">
        <v>33</v>
      </c>
      <c r="F45" s="4">
        <v>155000</v>
      </c>
      <c r="G45" s="4">
        <v>201000</v>
      </c>
      <c r="H45" s="4">
        <f t="shared" si="0"/>
        <v>178000</v>
      </c>
      <c r="I45">
        <v>0</v>
      </c>
      <c r="J45">
        <v>0</v>
      </c>
      <c r="K45">
        <v>0</v>
      </c>
      <c r="L45">
        <v>0</v>
      </c>
      <c r="M45">
        <v>1</v>
      </c>
    </row>
    <row r="46" spans="1:13" x14ac:dyDescent="0.25">
      <c r="A46" t="s">
        <v>59</v>
      </c>
      <c r="B46" s="5">
        <v>3.9</v>
      </c>
      <c r="C46" t="s">
        <v>60</v>
      </c>
      <c r="D46" t="s">
        <v>61</v>
      </c>
      <c r="E46" t="s">
        <v>33</v>
      </c>
      <c r="F46" s="4">
        <v>100464</v>
      </c>
      <c r="G46" s="4">
        <v>160742.39999999999</v>
      </c>
      <c r="H46" s="4">
        <f t="shared" si="0"/>
        <v>130603.2</v>
      </c>
      <c r="I46">
        <v>0</v>
      </c>
      <c r="J46">
        <v>0</v>
      </c>
      <c r="K46">
        <v>0</v>
      </c>
      <c r="L46">
        <v>0</v>
      </c>
      <c r="M46">
        <v>1</v>
      </c>
    </row>
    <row r="47" spans="1:13" x14ac:dyDescent="0.25">
      <c r="A47" t="s">
        <v>62</v>
      </c>
      <c r="B47" s="5">
        <v>4.0999999999999996</v>
      </c>
      <c r="C47" t="s">
        <v>29</v>
      </c>
      <c r="D47" t="s">
        <v>63</v>
      </c>
      <c r="E47" t="s">
        <v>33</v>
      </c>
      <c r="F47" s="4">
        <v>82000</v>
      </c>
      <c r="G47" s="4">
        <v>123000</v>
      </c>
      <c r="H47" s="4">
        <f t="shared" si="0"/>
        <v>102500</v>
      </c>
      <c r="I47">
        <v>0</v>
      </c>
      <c r="J47">
        <v>0</v>
      </c>
      <c r="K47">
        <v>0</v>
      </c>
      <c r="L47">
        <v>0</v>
      </c>
      <c r="M47">
        <v>1</v>
      </c>
    </row>
    <row r="48" spans="1:13" x14ac:dyDescent="0.25">
      <c r="A48" t="s">
        <v>0</v>
      </c>
      <c r="B48" s="5">
        <v>4.0999999999999996</v>
      </c>
      <c r="C48" t="s">
        <v>64</v>
      </c>
      <c r="D48" t="s">
        <v>65</v>
      </c>
      <c r="E48" t="s">
        <v>33</v>
      </c>
      <c r="F48" s="4">
        <v>204000</v>
      </c>
      <c r="G48" s="4">
        <v>294000</v>
      </c>
      <c r="H48" s="4">
        <f t="shared" si="0"/>
        <v>249000</v>
      </c>
      <c r="I48">
        <v>0</v>
      </c>
      <c r="J48">
        <v>0</v>
      </c>
      <c r="K48">
        <v>0</v>
      </c>
      <c r="L48">
        <v>0</v>
      </c>
      <c r="M48">
        <v>1</v>
      </c>
    </row>
    <row r="49" spans="1:13" x14ac:dyDescent="0.25">
      <c r="A49" t="s">
        <v>66</v>
      </c>
      <c r="B49" s="5">
        <v>2.9</v>
      </c>
      <c r="C49" t="s">
        <v>67</v>
      </c>
      <c r="D49" t="s">
        <v>65</v>
      </c>
      <c r="E49" t="s">
        <v>33</v>
      </c>
      <c r="F49" s="4">
        <v>119000</v>
      </c>
      <c r="G49" s="4">
        <v>145000</v>
      </c>
      <c r="H49" s="4">
        <f t="shared" si="0"/>
        <v>132000</v>
      </c>
      <c r="I49">
        <v>0</v>
      </c>
      <c r="J49">
        <v>0</v>
      </c>
      <c r="K49">
        <v>0</v>
      </c>
      <c r="L49">
        <v>0</v>
      </c>
      <c r="M49">
        <v>1</v>
      </c>
    </row>
    <row r="50" spans="1:13" x14ac:dyDescent="0.25">
      <c r="A50" t="s">
        <v>0</v>
      </c>
      <c r="B50" s="5">
        <v>5</v>
      </c>
      <c r="C50" t="s">
        <v>68</v>
      </c>
      <c r="D50" t="s">
        <v>65</v>
      </c>
      <c r="E50" t="s">
        <v>33</v>
      </c>
      <c r="F50" s="4">
        <v>93600</v>
      </c>
      <c r="G50" s="4">
        <v>114400</v>
      </c>
      <c r="H50" s="4">
        <f t="shared" si="0"/>
        <v>104000</v>
      </c>
      <c r="I50">
        <v>0</v>
      </c>
      <c r="J50">
        <v>0</v>
      </c>
      <c r="K50">
        <v>0</v>
      </c>
      <c r="L50">
        <v>0</v>
      </c>
      <c r="M50">
        <v>1</v>
      </c>
    </row>
    <row r="51" spans="1:13" x14ac:dyDescent="0.25">
      <c r="A51" t="s">
        <v>69</v>
      </c>
      <c r="B51" s="5">
        <v>4.2</v>
      </c>
      <c r="C51" t="s">
        <v>70</v>
      </c>
      <c r="D51" t="s">
        <v>71</v>
      </c>
      <c r="E51" t="s">
        <v>33</v>
      </c>
      <c r="F51" s="4">
        <v>164000</v>
      </c>
      <c r="G51" s="4">
        <v>262000</v>
      </c>
      <c r="H51" s="4">
        <f t="shared" si="0"/>
        <v>213000</v>
      </c>
      <c r="I51">
        <v>0</v>
      </c>
      <c r="J51">
        <v>0</v>
      </c>
      <c r="K51">
        <v>0</v>
      </c>
      <c r="L51">
        <v>0</v>
      </c>
      <c r="M51">
        <v>1</v>
      </c>
    </row>
    <row r="52" spans="1:13" x14ac:dyDescent="0.25">
      <c r="A52" t="s">
        <v>72</v>
      </c>
      <c r="B52" s="5">
        <v>3.6</v>
      </c>
      <c r="C52" t="s">
        <v>73</v>
      </c>
      <c r="D52" t="s">
        <v>71</v>
      </c>
      <c r="E52" t="s">
        <v>33</v>
      </c>
      <c r="F52" s="4">
        <v>143000</v>
      </c>
      <c r="G52" s="4">
        <v>194000</v>
      </c>
      <c r="H52" s="4">
        <f t="shared" si="0"/>
        <v>168500</v>
      </c>
      <c r="I52">
        <v>0</v>
      </c>
      <c r="J52">
        <v>0</v>
      </c>
      <c r="K52">
        <v>0</v>
      </c>
      <c r="L52">
        <v>0</v>
      </c>
      <c r="M52">
        <v>1</v>
      </c>
    </row>
    <row r="53" spans="1:13" x14ac:dyDescent="0.25">
      <c r="A53" t="s">
        <v>74</v>
      </c>
      <c r="B53" s="5">
        <v>4</v>
      </c>
      <c r="C53" t="s">
        <v>75</v>
      </c>
      <c r="D53" t="s">
        <v>71</v>
      </c>
      <c r="E53" t="s">
        <v>33</v>
      </c>
      <c r="F53" s="4">
        <v>126000</v>
      </c>
      <c r="G53" s="4">
        <v>270000</v>
      </c>
      <c r="H53" s="4">
        <f t="shared" si="0"/>
        <v>198000</v>
      </c>
      <c r="I53">
        <v>0</v>
      </c>
      <c r="J53">
        <v>0</v>
      </c>
      <c r="K53">
        <v>0</v>
      </c>
      <c r="L53">
        <v>0</v>
      </c>
      <c r="M53">
        <v>1</v>
      </c>
    </row>
    <row r="54" spans="1:13" x14ac:dyDescent="0.25">
      <c r="A54" t="s">
        <v>0</v>
      </c>
      <c r="B54" s="5">
        <v>3.5</v>
      </c>
      <c r="C54" t="s">
        <v>76</v>
      </c>
      <c r="D54" t="s">
        <v>71</v>
      </c>
      <c r="E54" t="s">
        <v>33</v>
      </c>
      <c r="F54" s="4">
        <v>80000</v>
      </c>
      <c r="G54" s="4">
        <v>90000</v>
      </c>
      <c r="H54" s="4">
        <f t="shared" si="0"/>
        <v>85000</v>
      </c>
      <c r="I54">
        <v>0</v>
      </c>
      <c r="J54">
        <v>0</v>
      </c>
      <c r="K54">
        <v>0</v>
      </c>
      <c r="L54">
        <v>0</v>
      </c>
      <c r="M54">
        <v>1</v>
      </c>
    </row>
    <row r="55" spans="1:13" x14ac:dyDescent="0.25">
      <c r="A55" t="s">
        <v>26</v>
      </c>
      <c r="B55" s="5">
        <v>2.9</v>
      </c>
      <c r="C55" t="s">
        <v>77</v>
      </c>
      <c r="D55" t="s">
        <v>78</v>
      </c>
      <c r="E55" t="s">
        <v>33</v>
      </c>
      <c r="F55" s="4">
        <v>140000</v>
      </c>
      <c r="G55" s="4">
        <v>180000</v>
      </c>
      <c r="H55" s="4">
        <f t="shared" si="0"/>
        <v>160000</v>
      </c>
      <c r="I55">
        <v>0</v>
      </c>
      <c r="J55">
        <v>0</v>
      </c>
      <c r="K55">
        <v>0</v>
      </c>
      <c r="L55">
        <v>0</v>
      </c>
      <c r="M55">
        <v>1</v>
      </c>
    </row>
    <row r="56" spans="1:13" x14ac:dyDescent="0.25">
      <c r="A56" t="s">
        <v>79</v>
      </c>
      <c r="B56" s="5">
        <v>3.9</v>
      </c>
      <c r="C56" t="s">
        <v>80</v>
      </c>
      <c r="D56" t="s">
        <v>81</v>
      </c>
      <c r="E56" t="s">
        <v>33</v>
      </c>
      <c r="F56" s="4">
        <v>160000</v>
      </c>
      <c r="G56" s="4">
        <v>220000</v>
      </c>
      <c r="H56" s="4">
        <f t="shared" si="0"/>
        <v>190000</v>
      </c>
      <c r="I56">
        <v>0</v>
      </c>
      <c r="J56">
        <v>0</v>
      </c>
      <c r="K56">
        <v>0</v>
      </c>
      <c r="L56">
        <v>0</v>
      </c>
      <c r="M56">
        <v>1</v>
      </c>
    </row>
    <row r="57" spans="1:13" x14ac:dyDescent="0.25">
      <c r="A57" t="s">
        <v>30</v>
      </c>
      <c r="B57" s="5">
        <v>3.8</v>
      </c>
      <c r="C57" t="s">
        <v>82</v>
      </c>
      <c r="D57" t="s">
        <v>83</v>
      </c>
      <c r="E57" t="s">
        <v>33</v>
      </c>
      <c r="F57" s="4">
        <v>145000</v>
      </c>
      <c r="G57" s="4">
        <v>185000</v>
      </c>
      <c r="H57" s="4">
        <f t="shared" si="0"/>
        <v>165000</v>
      </c>
      <c r="I57">
        <v>0</v>
      </c>
      <c r="J57">
        <v>0</v>
      </c>
      <c r="K57">
        <v>0</v>
      </c>
      <c r="L57">
        <v>0</v>
      </c>
      <c r="M57">
        <v>1</v>
      </c>
    </row>
    <row r="58" spans="1:13" x14ac:dyDescent="0.25">
      <c r="A58" t="s">
        <v>84</v>
      </c>
      <c r="B58" s="5">
        <v>3.9</v>
      </c>
      <c r="C58" t="s">
        <v>85</v>
      </c>
      <c r="D58" t="s">
        <v>83</v>
      </c>
      <c r="E58" t="s">
        <v>33</v>
      </c>
      <c r="F58" s="4">
        <v>136000</v>
      </c>
      <c r="G58" s="4">
        <v>155000</v>
      </c>
      <c r="H58" s="4">
        <f t="shared" si="0"/>
        <v>145500</v>
      </c>
      <c r="I58">
        <v>0</v>
      </c>
      <c r="J58">
        <v>0</v>
      </c>
      <c r="K58">
        <v>0</v>
      </c>
      <c r="L58">
        <v>0</v>
      </c>
      <c r="M58">
        <v>1</v>
      </c>
    </row>
    <row r="59" spans="1:13" x14ac:dyDescent="0.25">
      <c r="A59" t="s">
        <v>0</v>
      </c>
      <c r="B59" s="5">
        <v>3.2</v>
      </c>
      <c r="C59" t="s">
        <v>86</v>
      </c>
      <c r="D59" t="s">
        <v>83</v>
      </c>
      <c r="E59" t="s">
        <v>33</v>
      </c>
      <c r="F59" s="4">
        <v>74000</v>
      </c>
      <c r="G59" s="4">
        <v>124000</v>
      </c>
      <c r="H59" s="4">
        <f t="shared" si="0"/>
        <v>99000</v>
      </c>
      <c r="I59">
        <v>0</v>
      </c>
      <c r="J59">
        <v>0</v>
      </c>
      <c r="K59">
        <v>0</v>
      </c>
      <c r="L59">
        <v>0</v>
      </c>
      <c r="M59">
        <v>1</v>
      </c>
    </row>
    <row r="60" spans="1:13" x14ac:dyDescent="0.25">
      <c r="A60" t="s">
        <v>87</v>
      </c>
      <c r="B60" s="5">
        <v>5</v>
      </c>
      <c r="C60" t="s">
        <v>88</v>
      </c>
      <c r="D60" t="s">
        <v>89</v>
      </c>
      <c r="E60" t="s">
        <v>33</v>
      </c>
      <c r="F60" s="4">
        <v>110000</v>
      </c>
      <c r="G60" s="4">
        <v>150000</v>
      </c>
      <c r="H60" s="4">
        <f t="shared" si="0"/>
        <v>130000</v>
      </c>
      <c r="I60">
        <v>0</v>
      </c>
      <c r="J60">
        <v>0</v>
      </c>
      <c r="K60">
        <v>0</v>
      </c>
      <c r="L60">
        <v>0</v>
      </c>
      <c r="M60">
        <v>1</v>
      </c>
    </row>
    <row r="61" spans="1:13" x14ac:dyDescent="0.25">
      <c r="A61" t="s">
        <v>90</v>
      </c>
      <c r="C61" t="s">
        <v>88</v>
      </c>
      <c r="D61" t="s">
        <v>89</v>
      </c>
      <c r="E61" t="s">
        <v>33</v>
      </c>
      <c r="F61" s="4">
        <v>110000</v>
      </c>
      <c r="G61" s="4">
        <v>150000</v>
      </c>
      <c r="H61" s="4">
        <f t="shared" si="0"/>
        <v>130000</v>
      </c>
      <c r="I61">
        <v>0</v>
      </c>
      <c r="J61">
        <v>0</v>
      </c>
      <c r="K61">
        <v>0</v>
      </c>
      <c r="L61">
        <v>0</v>
      </c>
      <c r="M61">
        <v>1</v>
      </c>
    </row>
    <row r="62" spans="1:13" x14ac:dyDescent="0.25">
      <c r="A62" t="s">
        <v>91</v>
      </c>
      <c r="B62" s="5">
        <v>3.7</v>
      </c>
      <c r="C62" t="s">
        <v>92</v>
      </c>
      <c r="D62" t="s">
        <v>93</v>
      </c>
      <c r="E62" t="s">
        <v>33</v>
      </c>
      <c r="F62" s="4">
        <v>130000</v>
      </c>
      <c r="G62" s="4">
        <v>202000</v>
      </c>
      <c r="H62" s="4">
        <f t="shared" si="0"/>
        <v>166000</v>
      </c>
      <c r="I62">
        <v>0</v>
      </c>
      <c r="J62">
        <v>0</v>
      </c>
      <c r="K62">
        <v>0</v>
      </c>
      <c r="L62">
        <v>0</v>
      </c>
      <c r="M62">
        <v>1</v>
      </c>
    </row>
    <row r="63" spans="1:13" x14ac:dyDescent="0.25">
      <c r="A63" t="s">
        <v>94</v>
      </c>
      <c r="B63" s="5">
        <v>3.3</v>
      </c>
      <c r="C63" t="s">
        <v>95</v>
      </c>
      <c r="D63" t="s">
        <v>93</v>
      </c>
      <c r="E63" t="s">
        <v>33</v>
      </c>
      <c r="F63" s="4">
        <v>106080</v>
      </c>
      <c r="G63" s="4">
        <v>142937.60000000001</v>
      </c>
      <c r="H63" s="4">
        <f t="shared" si="0"/>
        <v>124508.8</v>
      </c>
      <c r="I63">
        <v>0</v>
      </c>
      <c r="J63">
        <v>0</v>
      </c>
      <c r="K63">
        <v>0</v>
      </c>
      <c r="L63">
        <v>0</v>
      </c>
      <c r="M63">
        <v>1</v>
      </c>
    </row>
    <row r="64" spans="1:13" x14ac:dyDescent="0.25">
      <c r="A64" t="s">
        <v>96</v>
      </c>
      <c r="B64" s="5">
        <v>4.0999999999999996</v>
      </c>
      <c r="C64" t="s">
        <v>97</v>
      </c>
      <c r="D64" t="s">
        <v>93</v>
      </c>
      <c r="E64" t="s">
        <v>33</v>
      </c>
      <c r="F64" s="4">
        <v>78000</v>
      </c>
      <c r="G64" s="4">
        <v>133000</v>
      </c>
      <c r="H64" s="4">
        <f t="shared" si="0"/>
        <v>105500</v>
      </c>
      <c r="I64">
        <v>0</v>
      </c>
      <c r="J64">
        <v>0</v>
      </c>
      <c r="K64">
        <v>0</v>
      </c>
      <c r="L64">
        <v>0</v>
      </c>
      <c r="M64">
        <v>1</v>
      </c>
    </row>
    <row r="65" spans="1:13" x14ac:dyDescent="0.25">
      <c r="A65" t="s">
        <v>96</v>
      </c>
      <c r="B65" s="5">
        <v>4.0999999999999996</v>
      </c>
      <c r="C65" t="s">
        <v>97</v>
      </c>
      <c r="D65" t="s">
        <v>93</v>
      </c>
      <c r="E65" t="s">
        <v>33</v>
      </c>
      <c r="F65" s="4">
        <v>78000</v>
      </c>
      <c r="G65" s="4">
        <v>133000</v>
      </c>
      <c r="H65" s="4">
        <f t="shared" si="0"/>
        <v>105500</v>
      </c>
      <c r="I65">
        <v>0</v>
      </c>
      <c r="J65">
        <v>0</v>
      </c>
      <c r="K65">
        <v>0</v>
      </c>
      <c r="L65">
        <v>0</v>
      </c>
      <c r="M65">
        <v>1</v>
      </c>
    </row>
    <row r="66" spans="1:13" x14ac:dyDescent="0.25">
      <c r="A66" t="s">
        <v>0</v>
      </c>
      <c r="B66" s="5">
        <v>4.3</v>
      </c>
      <c r="C66" t="s">
        <v>98</v>
      </c>
      <c r="D66" t="s">
        <v>93</v>
      </c>
      <c r="E66" t="s">
        <v>33</v>
      </c>
      <c r="F66" s="4">
        <v>77000</v>
      </c>
      <c r="G66" s="4">
        <v>129000</v>
      </c>
      <c r="H66" s="4">
        <f t="shared" si="0"/>
        <v>103000</v>
      </c>
      <c r="I66">
        <v>0</v>
      </c>
      <c r="J66">
        <v>0</v>
      </c>
      <c r="K66">
        <v>0</v>
      </c>
      <c r="L66">
        <v>0</v>
      </c>
      <c r="M66">
        <v>1</v>
      </c>
    </row>
    <row r="67" spans="1:13" x14ac:dyDescent="0.25">
      <c r="A67" t="s">
        <v>99</v>
      </c>
      <c r="B67" s="5">
        <v>4.2</v>
      </c>
      <c r="C67" t="s">
        <v>100</v>
      </c>
      <c r="D67" t="s">
        <v>101</v>
      </c>
      <c r="E67" t="s">
        <v>33</v>
      </c>
      <c r="F67" s="4">
        <v>126000</v>
      </c>
      <c r="G67" s="4">
        <v>195000</v>
      </c>
      <c r="H67" s="4">
        <f t="shared" ref="H67:H130" si="1">(F67+G67)/2</f>
        <v>160500</v>
      </c>
      <c r="I67">
        <v>0</v>
      </c>
      <c r="J67">
        <v>0</v>
      </c>
      <c r="K67">
        <v>0</v>
      </c>
      <c r="L67">
        <v>0</v>
      </c>
      <c r="M67">
        <v>1</v>
      </c>
    </row>
    <row r="68" spans="1:13" x14ac:dyDescent="0.25">
      <c r="A68" t="s">
        <v>0</v>
      </c>
      <c r="B68" s="5">
        <v>3.9</v>
      </c>
      <c r="C68" t="s">
        <v>48</v>
      </c>
      <c r="D68" t="s">
        <v>102</v>
      </c>
      <c r="E68" t="s">
        <v>33</v>
      </c>
      <c r="F68" s="4">
        <v>197000</v>
      </c>
      <c r="G68" s="4">
        <v>269000</v>
      </c>
      <c r="H68" s="4">
        <f t="shared" si="1"/>
        <v>233000</v>
      </c>
      <c r="I68">
        <v>0</v>
      </c>
      <c r="J68">
        <v>0</v>
      </c>
      <c r="K68">
        <v>0</v>
      </c>
      <c r="L68">
        <v>0</v>
      </c>
      <c r="M68">
        <v>1</v>
      </c>
    </row>
    <row r="69" spans="1:13" x14ac:dyDescent="0.25">
      <c r="A69" t="s">
        <v>103</v>
      </c>
      <c r="B69" s="5">
        <v>3.4</v>
      </c>
      <c r="C69" t="s">
        <v>104</v>
      </c>
      <c r="D69" t="s">
        <v>102</v>
      </c>
      <c r="E69" t="s">
        <v>33</v>
      </c>
      <c r="F69" s="4">
        <v>160000</v>
      </c>
      <c r="G69" s="4">
        <v>225000</v>
      </c>
      <c r="H69" s="4">
        <f t="shared" si="1"/>
        <v>192500</v>
      </c>
      <c r="I69">
        <v>0</v>
      </c>
      <c r="J69">
        <v>0</v>
      </c>
      <c r="K69">
        <v>0</v>
      </c>
      <c r="L69">
        <v>0</v>
      </c>
      <c r="M69">
        <v>1</v>
      </c>
    </row>
    <row r="70" spans="1:13" x14ac:dyDescent="0.25">
      <c r="A70" t="s">
        <v>84</v>
      </c>
      <c r="B70" s="5">
        <v>3.9</v>
      </c>
      <c r="C70" t="s">
        <v>105</v>
      </c>
      <c r="D70" t="s">
        <v>102</v>
      </c>
      <c r="E70" t="s">
        <v>33</v>
      </c>
      <c r="F70" s="4">
        <v>134000</v>
      </c>
      <c r="G70" s="4">
        <v>248000</v>
      </c>
      <c r="H70" s="4">
        <f t="shared" si="1"/>
        <v>191000</v>
      </c>
      <c r="I70">
        <v>0</v>
      </c>
      <c r="J70">
        <v>1</v>
      </c>
      <c r="K70">
        <v>0</v>
      </c>
      <c r="L70">
        <v>0</v>
      </c>
      <c r="M70">
        <v>1</v>
      </c>
    </row>
    <row r="71" spans="1:13" x14ac:dyDescent="0.25">
      <c r="A71" t="s">
        <v>106</v>
      </c>
      <c r="B71" s="5">
        <v>3.5</v>
      </c>
      <c r="C71" t="s">
        <v>107</v>
      </c>
      <c r="D71" t="s">
        <v>102</v>
      </c>
      <c r="E71" t="s">
        <v>33</v>
      </c>
      <c r="F71" s="4">
        <v>113000</v>
      </c>
      <c r="G71" s="4">
        <v>161000</v>
      </c>
      <c r="H71" s="4">
        <f t="shared" si="1"/>
        <v>137000</v>
      </c>
      <c r="I71">
        <v>0</v>
      </c>
      <c r="J71">
        <v>0</v>
      </c>
      <c r="K71">
        <v>0</v>
      </c>
      <c r="L71">
        <v>0</v>
      </c>
      <c r="M71">
        <v>1</v>
      </c>
    </row>
    <row r="72" spans="1:13" x14ac:dyDescent="0.25">
      <c r="A72" t="s">
        <v>0</v>
      </c>
      <c r="B72" s="5">
        <v>4.7</v>
      </c>
      <c r="C72" t="s">
        <v>108</v>
      </c>
      <c r="D72" t="s">
        <v>102</v>
      </c>
      <c r="E72" t="s">
        <v>33</v>
      </c>
      <c r="F72" s="4">
        <v>106000</v>
      </c>
      <c r="G72" s="4">
        <v>153000</v>
      </c>
      <c r="H72" s="4">
        <f t="shared" si="1"/>
        <v>129500</v>
      </c>
      <c r="I72">
        <v>0</v>
      </c>
      <c r="J72">
        <v>0</v>
      </c>
      <c r="K72">
        <v>0</v>
      </c>
      <c r="L72">
        <v>0</v>
      </c>
      <c r="M72">
        <v>1</v>
      </c>
    </row>
    <row r="73" spans="1:13" x14ac:dyDescent="0.25">
      <c r="A73" t="s">
        <v>17</v>
      </c>
      <c r="C73" t="s">
        <v>109</v>
      </c>
      <c r="D73" t="s">
        <v>102</v>
      </c>
      <c r="E73" t="s">
        <v>33</v>
      </c>
      <c r="F73" s="4">
        <v>91000</v>
      </c>
      <c r="G73" s="4">
        <v>130000</v>
      </c>
      <c r="H73" s="4">
        <f t="shared" si="1"/>
        <v>110500</v>
      </c>
      <c r="I73">
        <v>0</v>
      </c>
      <c r="J73">
        <v>0</v>
      </c>
      <c r="K73">
        <v>0</v>
      </c>
      <c r="L73">
        <v>0</v>
      </c>
      <c r="M73">
        <v>1</v>
      </c>
    </row>
    <row r="74" spans="1:13" x14ac:dyDescent="0.25">
      <c r="A74" t="s">
        <v>110</v>
      </c>
      <c r="B74" s="5">
        <v>4.5</v>
      </c>
      <c r="C74" t="s">
        <v>111</v>
      </c>
      <c r="D74" t="s">
        <v>112</v>
      </c>
      <c r="E74" t="s">
        <v>33</v>
      </c>
      <c r="F74" s="4">
        <v>157000</v>
      </c>
      <c r="G74" s="4">
        <v>199000</v>
      </c>
      <c r="H74" s="4">
        <f t="shared" si="1"/>
        <v>178000</v>
      </c>
      <c r="I74">
        <v>0</v>
      </c>
      <c r="J74">
        <v>0</v>
      </c>
      <c r="K74">
        <v>0</v>
      </c>
      <c r="L74">
        <v>0</v>
      </c>
      <c r="M74">
        <v>1</v>
      </c>
    </row>
    <row r="75" spans="1:13" x14ac:dyDescent="0.25">
      <c r="A75" t="s">
        <v>110</v>
      </c>
      <c r="B75" s="5">
        <v>4.5</v>
      </c>
      <c r="C75" t="s">
        <v>111</v>
      </c>
      <c r="D75" t="s">
        <v>112</v>
      </c>
      <c r="E75" t="s">
        <v>33</v>
      </c>
      <c r="F75" s="4">
        <v>157000</v>
      </c>
      <c r="G75" s="4">
        <v>199000</v>
      </c>
      <c r="H75" s="4">
        <f t="shared" si="1"/>
        <v>178000</v>
      </c>
      <c r="I75">
        <v>0</v>
      </c>
      <c r="J75">
        <v>0</v>
      </c>
      <c r="K75">
        <v>0</v>
      </c>
      <c r="L75">
        <v>0</v>
      </c>
      <c r="M75">
        <v>1</v>
      </c>
    </row>
    <row r="76" spans="1:13" x14ac:dyDescent="0.25">
      <c r="A76" t="s">
        <v>30</v>
      </c>
      <c r="B76" s="5">
        <v>4.2</v>
      </c>
      <c r="C76" t="s">
        <v>113</v>
      </c>
      <c r="D76" t="s">
        <v>112</v>
      </c>
      <c r="E76" t="s">
        <v>33</v>
      </c>
      <c r="F76" s="4">
        <v>156000</v>
      </c>
      <c r="G76" s="4">
        <v>166400</v>
      </c>
      <c r="H76" s="4">
        <f t="shared" si="1"/>
        <v>161200</v>
      </c>
      <c r="I76">
        <v>0</v>
      </c>
      <c r="J76">
        <v>0</v>
      </c>
      <c r="K76">
        <v>0</v>
      </c>
      <c r="L76">
        <v>0</v>
      </c>
      <c r="M76">
        <v>1</v>
      </c>
    </row>
    <row r="77" spans="1:13" x14ac:dyDescent="0.25">
      <c r="A77" t="s">
        <v>114</v>
      </c>
      <c r="B77" s="5">
        <v>3.5</v>
      </c>
      <c r="C77" t="s">
        <v>115</v>
      </c>
      <c r="D77" t="s">
        <v>112</v>
      </c>
      <c r="E77" t="s">
        <v>33</v>
      </c>
      <c r="F77" s="4">
        <v>153000</v>
      </c>
      <c r="G77" s="4">
        <v>296000</v>
      </c>
      <c r="H77" s="4">
        <f t="shared" si="1"/>
        <v>224500</v>
      </c>
      <c r="I77">
        <v>0</v>
      </c>
      <c r="J77">
        <v>0</v>
      </c>
      <c r="K77">
        <v>0</v>
      </c>
      <c r="L77">
        <v>0</v>
      </c>
      <c r="M77">
        <v>1</v>
      </c>
    </row>
    <row r="78" spans="1:13" x14ac:dyDescent="0.25">
      <c r="A78" t="s">
        <v>116</v>
      </c>
      <c r="B78" s="5">
        <v>3.9</v>
      </c>
      <c r="C78" t="s">
        <v>117</v>
      </c>
      <c r="D78" t="s">
        <v>112</v>
      </c>
      <c r="E78" t="s">
        <v>33</v>
      </c>
      <c r="F78" s="4">
        <v>153000</v>
      </c>
      <c r="G78" s="4">
        <v>296000</v>
      </c>
      <c r="H78" s="4">
        <f t="shared" si="1"/>
        <v>224500</v>
      </c>
      <c r="I78">
        <v>0</v>
      </c>
      <c r="J78">
        <v>0</v>
      </c>
      <c r="K78">
        <v>0</v>
      </c>
      <c r="L78">
        <v>0</v>
      </c>
      <c r="M78">
        <v>1</v>
      </c>
    </row>
    <row r="79" spans="1:13" x14ac:dyDescent="0.25">
      <c r="A79" t="s">
        <v>114</v>
      </c>
      <c r="B79" s="5">
        <v>3.9</v>
      </c>
      <c r="C79" t="s">
        <v>117</v>
      </c>
      <c r="D79" t="s">
        <v>112</v>
      </c>
      <c r="E79" t="s">
        <v>33</v>
      </c>
      <c r="F79" s="4">
        <v>153000</v>
      </c>
      <c r="G79" s="4">
        <v>296000</v>
      </c>
      <c r="H79" s="4">
        <f t="shared" si="1"/>
        <v>224500</v>
      </c>
      <c r="I79">
        <v>0</v>
      </c>
      <c r="J79">
        <v>0</v>
      </c>
      <c r="K79">
        <v>0</v>
      </c>
      <c r="L79">
        <v>0</v>
      </c>
      <c r="M79">
        <v>1</v>
      </c>
    </row>
    <row r="80" spans="1:13" x14ac:dyDescent="0.25">
      <c r="A80" t="s">
        <v>116</v>
      </c>
      <c r="B80" s="5">
        <v>3.5</v>
      </c>
      <c r="C80" t="s">
        <v>115</v>
      </c>
      <c r="D80" t="s">
        <v>112</v>
      </c>
      <c r="E80" t="s">
        <v>33</v>
      </c>
      <c r="F80" s="4">
        <v>153000</v>
      </c>
      <c r="G80" s="4">
        <v>296000</v>
      </c>
      <c r="H80" s="4">
        <f t="shared" si="1"/>
        <v>224500</v>
      </c>
      <c r="I80">
        <v>0</v>
      </c>
      <c r="J80">
        <v>0</v>
      </c>
      <c r="K80">
        <v>0</v>
      </c>
      <c r="L80">
        <v>0</v>
      </c>
      <c r="M80">
        <v>1</v>
      </c>
    </row>
    <row r="81" spans="1:13" x14ac:dyDescent="0.25">
      <c r="A81" t="s">
        <v>114</v>
      </c>
      <c r="B81" s="5">
        <v>3.5</v>
      </c>
      <c r="C81" t="s">
        <v>115</v>
      </c>
      <c r="D81" t="s">
        <v>112</v>
      </c>
      <c r="E81" t="s">
        <v>33</v>
      </c>
      <c r="F81" s="4">
        <v>153000</v>
      </c>
      <c r="G81" s="4">
        <v>296000</v>
      </c>
      <c r="H81" s="4">
        <f t="shared" si="1"/>
        <v>224500</v>
      </c>
      <c r="I81">
        <v>0</v>
      </c>
      <c r="J81">
        <v>0</v>
      </c>
      <c r="K81">
        <v>0</v>
      </c>
      <c r="L81">
        <v>0</v>
      </c>
      <c r="M81">
        <v>1</v>
      </c>
    </row>
    <row r="82" spans="1:13" x14ac:dyDescent="0.25">
      <c r="A82" t="s">
        <v>30</v>
      </c>
      <c r="B82" s="5">
        <v>4.5</v>
      </c>
      <c r="C82" t="s">
        <v>111</v>
      </c>
      <c r="D82" t="s">
        <v>112</v>
      </c>
      <c r="E82" t="s">
        <v>33</v>
      </c>
      <c r="F82" s="4">
        <v>151000</v>
      </c>
      <c r="G82" s="4">
        <v>194000</v>
      </c>
      <c r="H82" s="4">
        <f t="shared" si="1"/>
        <v>172500</v>
      </c>
      <c r="I82">
        <v>0</v>
      </c>
      <c r="J82">
        <v>0</v>
      </c>
      <c r="K82">
        <v>0</v>
      </c>
      <c r="L82">
        <v>0</v>
      </c>
      <c r="M82">
        <v>1</v>
      </c>
    </row>
    <row r="83" spans="1:13" x14ac:dyDescent="0.25">
      <c r="A83" t="s">
        <v>118</v>
      </c>
      <c r="B83" s="5">
        <v>4.3</v>
      </c>
      <c r="C83" t="s">
        <v>119</v>
      </c>
      <c r="D83" t="s">
        <v>112</v>
      </c>
      <c r="E83" t="s">
        <v>33</v>
      </c>
      <c r="F83" s="4">
        <v>149000</v>
      </c>
      <c r="G83" s="4">
        <v>200000</v>
      </c>
      <c r="H83" s="4">
        <f t="shared" si="1"/>
        <v>174500</v>
      </c>
      <c r="I83">
        <v>0</v>
      </c>
      <c r="J83">
        <v>0</v>
      </c>
      <c r="K83">
        <v>0</v>
      </c>
      <c r="L83">
        <v>0</v>
      </c>
      <c r="M83">
        <v>1</v>
      </c>
    </row>
    <row r="84" spans="1:13" x14ac:dyDescent="0.25">
      <c r="A84" t="s">
        <v>30</v>
      </c>
      <c r="B84" s="5">
        <v>3.9</v>
      </c>
      <c r="C84" t="s">
        <v>120</v>
      </c>
      <c r="D84" t="s">
        <v>112</v>
      </c>
      <c r="E84" t="s">
        <v>33</v>
      </c>
      <c r="F84" s="4">
        <v>130000</v>
      </c>
      <c r="G84" s="4">
        <v>234000</v>
      </c>
      <c r="H84" s="4">
        <f t="shared" si="1"/>
        <v>182000</v>
      </c>
      <c r="I84">
        <v>0</v>
      </c>
      <c r="J84">
        <v>0</v>
      </c>
      <c r="K84">
        <v>0</v>
      </c>
      <c r="L84">
        <v>0</v>
      </c>
      <c r="M84">
        <v>1</v>
      </c>
    </row>
    <row r="85" spans="1:13" x14ac:dyDescent="0.25">
      <c r="A85" t="s">
        <v>121</v>
      </c>
      <c r="B85" s="5">
        <v>3.6</v>
      </c>
      <c r="C85" t="s">
        <v>122</v>
      </c>
      <c r="D85" t="s">
        <v>112</v>
      </c>
      <c r="E85" t="s">
        <v>33</v>
      </c>
      <c r="F85" s="4">
        <v>116000</v>
      </c>
      <c r="G85" s="4">
        <v>116000</v>
      </c>
      <c r="H85" s="4">
        <f t="shared" si="1"/>
        <v>116000</v>
      </c>
      <c r="I85">
        <v>0</v>
      </c>
      <c r="J85">
        <v>0</v>
      </c>
      <c r="K85">
        <v>0</v>
      </c>
      <c r="L85">
        <v>0</v>
      </c>
      <c r="M85">
        <v>1</v>
      </c>
    </row>
    <row r="86" spans="1:13" x14ac:dyDescent="0.25">
      <c r="A86" t="s">
        <v>123</v>
      </c>
      <c r="B86" s="5">
        <v>3.1</v>
      </c>
      <c r="C86" t="s">
        <v>124</v>
      </c>
      <c r="D86" t="s">
        <v>112</v>
      </c>
      <c r="E86" t="s">
        <v>33</v>
      </c>
      <c r="F86" s="4">
        <v>105000</v>
      </c>
      <c r="G86" s="4">
        <v>125000</v>
      </c>
      <c r="H86" s="4">
        <f t="shared" si="1"/>
        <v>115000</v>
      </c>
      <c r="I86">
        <v>0</v>
      </c>
      <c r="J86">
        <v>0</v>
      </c>
      <c r="K86">
        <v>0</v>
      </c>
      <c r="L86">
        <v>0</v>
      </c>
      <c r="M86">
        <v>1</v>
      </c>
    </row>
    <row r="87" spans="1:13" x14ac:dyDescent="0.25">
      <c r="A87" t="s">
        <v>125</v>
      </c>
      <c r="B87" s="5">
        <v>5</v>
      </c>
      <c r="C87" t="s">
        <v>126</v>
      </c>
      <c r="D87" t="s">
        <v>112</v>
      </c>
      <c r="E87" t="s">
        <v>33</v>
      </c>
      <c r="F87" s="4">
        <v>97000</v>
      </c>
      <c r="G87" s="4">
        <v>155000</v>
      </c>
      <c r="H87" s="4">
        <f t="shared" si="1"/>
        <v>126000</v>
      </c>
      <c r="I87">
        <v>0</v>
      </c>
      <c r="J87">
        <v>0</v>
      </c>
      <c r="K87">
        <v>0</v>
      </c>
      <c r="L87">
        <v>0</v>
      </c>
      <c r="M87">
        <v>1</v>
      </c>
    </row>
    <row r="88" spans="1:13" x14ac:dyDescent="0.25">
      <c r="A88" t="s">
        <v>125</v>
      </c>
      <c r="B88" s="5">
        <v>5</v>
      </c>
      <c r="C88" t="s">
        <v>126</v>
      </c>
      <c r="D88" t="s">
        <v>112</v>
      </c>
      <c r="E88" t="s">
        <v>33</v>
      </c>
      <c r="F88" s="4">
        <v>97000</v>
      </c>
      <c r="G88" s="4">
        <v>155000</v>
      </c>
      <c r="H88" s="4">
        <f t="shared" si="1"/>
        <v>126000</v>
      </c>
      <c r="I88">
        <v>0</v>
      </c>
      <c r="J88">
        <v>0</v>
      </c>
      <c r="K88">
        <v>0</v>
      </c>
      <c r="L88">
        <v>0</v>
      </c>
      <c r="M88">
        <v>1</v>
      </c>
    </row>
    <row r="89" spans="1:13" x14ac:dyDescent="0.25">
      <c r="A89" t="s">
        <v>125</v>
      </c>
      <c r="B89" s="5">
        <v>5</v>
      </c>
      <c r="C89" t="s">
        <v>126</v>
      </c>
      <c r="D89" t="s">
        <v>112</v>
      </c>
      <c r="E89" t="s">
        <v>33</v>
      </c>
      <c r="F89" s="4">
        <v>97000</v>
      </c>
      <c r="G89" s="4">
        <v>155000</v>
      </c>
      <c r="H89" s="4">
        <f t="shared" si="1"/>
        <v>126000</v>
      </c>
      <c r="I89">
        <v>0</v>
      </c>
      <c r="J89">
        <v>0</v>
      </c>
      <c r="K89">
        <v>0</v>
      </c>
      <c r="L89">
        <v>0</v>
      </c>
      <c r="M89">
        <v>1</v>
      </c>
    </row>
    <row r="90" spans="1:13" x14ac:dyDescent="0.25">
      <c r="A90" t="s">
        <v>125</v>
      </c>
      <c r="B90" s="5">
        <v>5</v>
      </c>
      <c r="C90" t="s">
        <v>126</v>
      </c>
      <c r="D90" t="s">
        <v>112</v>
      </c>
      <c r="E90" t="s">
        <v>33</v>
      </c>
      <c r="F90" s="4">
        <v>97000</v>
      </c>
      <c r="G90" s="4">
        <v>155000</v>
      </c>
      <c r="H90" s="4">
        <f t="shared" si="1"/>
        <v>126000</v>
      </c>
      <c r="I90">
        <v>0</v>
      </c>
      <c r="J90">
        <v>0</v>
      </c>
      <c r="K90">
        <v>0</v>
      </c>
      <c r="L90">
        <v>0</v>
      </c>
      <c r="M90">
        <v>1</v>
      </c>
    </row>
    <row r="91" spans="1:13" x14ac:dyDescent="0.25">
      <c r="A91" t="s">
        <v>125</v>
      </c>
      <c r="B91" s="5">
        <v>5</v>
      </c>
      <c r="C91" t="s">
        <v>126</v>
      </c>
      <c r="D91" t="s">
        <v>112</v>
      </c>
      <c r="E91" t="s">
        <v>33</v>
      </c>
      <c r="F91" s="4">
        <v>97000</v>
      </c>
      <c r="G91" s="4">
        <v>155000</v>
      </c>
      <c r="H91" s="4">
        <f t="shared" si="1"/>
        <v>126000</v>
      </c>
      <c r="I91">
        <v>0</v>
      </c>
      <c r="J91">
        <v>0</v>
      </c>
      <c r="K91">
        <v>0</v>
      </c>
      <c r="L91">
        <v>0</v>
      </c>
      <c r="M91">
        <v>1</v>
      </c>
    </row>
    <row r="92" spans="1:13" x14ac:dyDescent="0.25">
      <c r="A92" t="s">
        <v>125</v>
      </c>
      <c r="B92" s="5">
        <v>5</v>
      </c>
      <c r="C92" t="s">
        <v>126</v>
      </c>
      <c r="D92" t="s">
        <v>112</v>
      </c>
      <c r="E92" t="s">
        <v>33</v>
      </c>
      <c r="F92" s="4">
        <v>97000</v>
      </c>
      <c r="G92" s="4">
        <v>155000</v>
      </c>
      <c r="H92" s="4">
        <f t="shared" si="1"/>
        <v>126000</v>
      </c>
      <c r="I92">
        <v>0</v>
      </c>
      <c r="J92">
        <v>0</v>
      </c>
      <c r="K92">
        <v>0</v>
      </c>
      <c r="L92">
        <v>0</v>
      </c>
      <c r="M92">
        <v>1</v>
      </c>
    </row>
    <row r="93" spans="1:13" x14ac:dyDescent="0.25">
      <c r="A93" t="s">
        <v>125</v>
      </c>
      <c r="B93" s="5">
        <v>5</v>
      </c>
      <c r="C93" t="s">
        <v>126</v>
      </c>
      <c r="D93" t="s">
        <v>112</v>
      </c>
      <c r="E93" t="s">
        <v>33</v>
      </c>
      <c r="F93" s="4">
        <v>97000</v>
      </c>
      <c r="G93" s="4">
        <v>155000</v>
      </c>
      <c r="H93" s="4">
        <f t="shared" si="1"/>
        <v>126000</v>
      </c>
      <c r="I93">
        <v>0</v>
      </c>
      <c r="J93">
        <v>0</v>
      </c>
      <c r="K93">
        <v>0</v>
      </c>
      <c r="L93">
        <v>0</v>
      </c>
      <c r="M93">
        <v>1</v>
      </c>
    </row>
    <row r="94" spans="1:13" x14ac:dyDescent="0.25">
      <c r="A94" t="s">
        <v>125</v>
      </c>
      <c r="B94" s="5">
        <v>5</v>
      </c>
      <c r="C94" t="s">
        <v>126</v>
      </c>
      <c r="D94" t="s">
        <v>112</v>
      </c>
      <c r="E94" t="s">
        <v>33</v>
      </c>
      <c r="F94" s="4">
        <v>97000</v>
      </c>
      <c r="G94" s="4">
        <v>155000</v>
      </c>
      <c r="H94" s="4">
        <f t="shared" si="1"/>
        <v>126000</v>
      </c>
      <c r="I94">
        <v>0</v>
      </c>
      <c r="J94">
        <v>0</v>
      </c>
      <c r="K94">
        <v>0</v>
      </c>
      <c r="L94">
        <v>0</v>
      </c>
      <c r="M94">
        <v>1</v>
      </c>
    </row>
    <row r="95" spans="1:13" x14ac:dyDescent="0.25">
      <c r="A95" t="s">
        <v>125</v>
      </c>
      <c r="B95" s="5">
        <v>5</v>
      </c>
      <c r="C95" t="s">
        <v>126</v>
      </c>
      <c r="D95" t="s">
        <v>112</v>
      </c>
      <c r="E95" t="s">
        <v>33</v>
      </c>
      <c r="F95" s="4">
        <v>97000</v>
      </c>
      <c r="G95" s="4">
        <v>155000</v>
      </c>
      <c r="H95" s="4">
        <f t="shared" si="1"/>
        <v>126000</v>
      </c>
      <c r="I95">
        <v>0</v>
      </c>
      <c r="J95">
        <v>0</v>
      </c>
      <c r="K95">
        <v>0</v>
      </c>
      <c r="L95">
        <v>0</v>
      </c>
      <c r="M95">
        <v>1</v>
      </c>
    </row>
    <row r="96" spans="1:13" x14ac:dyDescent="0.25">
      <c r="A96" t="s">
        <v>125</v>
      </c>
      <c r="B96" s="5">
        <v>5</v>
      </c>
      <c r="C96" t="s">
        <v>126</v>
      </c>
      <c r="D96" t="s">
        <v>112</v>
      </c>
      <c r="E96" t="s">
        <v>33</v>
      </c>
      <c r="F96" s="4">
        <v>97000</v>
      </c>
      <c r="G96" s="4">
        <v>155000</v>
      </c>
      <c r="H96" s="4">
        <f t="shared" si="1"/>
        <v>126000</v>
      </c>
      <c r="I96">
        <v>0</v>
      </c>
      <c r="J96">
        <v>0</v>
      </c>
      <c r="K96">
        <v>0</v>
      </c>
      <c r="L96">
        <v>0</v>
      </c>
      <c r="M96">
        <v>1</v>
      </c>
    </row>
    <row r="97" spans="1:13" x14ac:dyDescent="0.25">
      <c r="A97" t="s">
        <v>125</v>
      </c>
      <c r="B97" s="5">
        <v>5</v>
      </c>
      <c r="C97" t="s">
        <v>126</v>
      </c>
      <c r="D97" t="s">
        <v>112</v>
      </c>
      <c r="E97" t="s">
        <v>33</v>
      </c>
      <c r="F97" s="4">
        <v>97000</v>
      </c>
      <c r="G97" s="4">
        <v>155000</v>
      </c>
      <c r="H97" s="4">
        <f t="shared" si="1"/>
        <v>126000</v>
      </c>
      <c r="I97">
        <v>0</v>
      </c>
      <c r="J97">
        <v>0</v>
      </c>
      <c r="K97">
        <v>0</v>
      </c>
      <c r="L97">
        <v>0</v>
      </c>
      <c r="M97">
        <v>1</v>
      </c>
    </row>
    <row r="98" spans="1:13" x14ac:dyDescent="0.25">
      <c r="A98" t="s">
        <v>125</v>
      </c>
      <c r="B98" s="5">
        <v>5</v>
      </c>
      <c r="C98" t="s">
        <v>126</v>
      </c>
      <c r="D98" t="s">
        <v>112</v>
      </c>
      <c r="E98" t="s">
        <v>33</v>
      </c>
      <c r="F98" s="4">
        <v>97000</v>
      </c>
      <c r="G98" s="4">
        <v>155000</v>
      </c>
      <c r="H98" s="4">
        <f t="shared" si="1"/>
        <v>126000</v>
      </c>
      <c r="I98">
        <v>0</v>
      </c>
      <c r="J98">
        <v>0</v>
      </c>
      <c r="K98">
        <v>0</v>
      </c>
      <c r="L98">
        <v>0</v>
      </c>
      <c r="M98">
        <v>1</v>
      </c>
    </row>
    <row r="99" spans="1:13" x14ac:dyDescent="0.25">
      <c r="A99" t="s">
        <v>125</v>
      </c>
      <c r="B99" s="5">
        <v>5</v>
      </c>
      <c r="C99" t="s">
        <v>126</v>
      </c>
      <c r="D99" t="s">
        <v>112</v>
      </c>
      <c r="E99" t="s">
        <v>33</v>
      </c>
      <c r="F99" s="4">
        <v>97000</v>
      </c>
      <c r="G99" s="4">
        <v>155000</v>
      </c>
      <c r="H99" s="4">
        <f t="shared" si="1"/>
        <v>126000</v>
      </c>
      <c r="I99">
        <v>0</v>
      </c>
      <c r="J99">
        <v>0</v>
      </c>
      <c r="K99">
        <v>0</v>
      </c>
      <c r="L99">
        <v>0</v>
      </c>
      <c r="M99">
        <v>1</v>
      </c>
    </row>
    <row r="100" spans="1:13" x14ac:dyDescent="0.25">
      <c r="A100" t="s">
        <v>125</v>
      </c>
      <c r="B100" s="5">
        <v>5</v>
      </c>
      <c r="C100" t="s">
        <v>126</v>
      </c>
      <c r="D100" t="s">
        <v>112</v>
      </c>
      <c r="E100" t="s">
        <v>33</v>
      </c>
      <c r="F100" s="4">
        <v>97000</v>
      </c>
      <c r="G100" s="4">
        <v>155000</v>
      </c>
      <c r="H100" s="4">
        <f t="shared" si="1"/>
        <v>126000</v>
      </c>
      <c r="I100">
        <v>0</v>
      </c>
      <c r="J100">
        <v>0</v>
      </c>
      <c r="K100">
        <v>0</v>
      </c>
      <c r="L100">
        <v>0</v>
      </c>
      <c r="M100">
        <v>1</v>
      </c>
    </row>
    <row r="101" spans="1:13" x14ac:dyDescent="0.25">
      <c r="A101" t="s">
        <v>125</v>
      </c>
      <c r="B101" s="5">
        <v>5</v>
      </c>
      <c r="C101" t="s">
        <v>126</v>
      </c>
      <c r="D101" t="s">
        <v>112</v>
      </c>
      <c r="E101" t="s">
        <v>33</v>
      </c>
      <c r="F101" s="4">
        <v>97000</v>
      </c>
      <c r="G101" s="4">
        <v>155000</v>
      </c>
      <c r="H101" s="4">
        <f t="shared" si="1"/>
        <v>126000</v>
      </c>
      <c r="I101">
        <v>0</v>
      </c>
      <c r="J101">
        <v>0</v>
      </c>
      <c r="K101">
        <v>0</v>
      </c>
      <c r="L101">
        <v>0</v>
      </c>
      <c r="M101">
        <v>1</v>
      </c>
    </row>
    <row r="102" spans="1:13" x14ac:dyDescent="0.25">
      <c r="A102" t="s">
        <v>125</v>
      </c>
      <c r="B102" s="5">
        <v>5</v>
      </c>
      <c r="C102" t="s">
        <v>126</v>
      </c>
      <c r="D102" t="s">
        <v>112</v>
      </c>
      <c r="E102" t="s">
        <v>33</v>
      </c>
      <c r="F102" s="4">
        <v>97000</v>
      </c>
      <c r="G102" s="4">
        <v>155000</v>
      </c>
      <c r="H102" s="4">
        <f t="shared" si="1"/>
        <v>126000</v>
      </c>
      <c r="I102">
        <v>0</v>
      </c>
      <c r="J102">
        <v>0</v>
      </c>
      <c r="K102">
        <v>0</v>
      </c>
      <c r="L102">
        <v>0</v>
      </c>
      <c r="M102">
        <v>1</v>
      </c>
    </row>
    <row r="103" spans="1:13" x14ac:dyDescent="0.25">
      <c r="A103" t="s">
        <v>125</v>
      </c>
      <c r="B103" s="5">
        <v>5</v>
      </c>
      <c r="C103" t="s">
        <v>126</v>
      </c>
      <c r="D103" t="s">
        <v>112</v>
      </c>
      <c r="E103" t="s">
        <v>33</v>
      </c>
      <c r="F103" s="4">
        <v>97000</v>
      </c>
      <c r="G103" s="4">
        <v>155000</v>
      </c>
      <c r="H103" s="4">
        <f t="shared" si="1"/>
        <v>126000</v>
      </c>
      <c r="I103">
        <v>0</v>
      </c>
      <c r="J103">
        <v>0</v>
      </c>
      <c r="K103">
        <v>0</v>
      </c>
      <c r="L103">
        <v>0</v>
      </c>
      <c r="M103">
        <v>1</v>
      </c>
    </row>
    <row r="104" spans="1:13" x14ac:dyDescent="0.25">
      <c r="A104" t="s">
        <v>125</v>
      </c>
      <c r="B104" s="5">
        <v>5</v>
      </c>
      <c r="C104" t="s">
        <v>126</v>
      </c>
      <c r="D104" t="s">
        <v>112</v>
      </c>
      <c r="E104" t="s">
        <v>33</v>
      </c>
      <c r="F104" s="4">
        <v>97000</v>
      </c>
      <c r="G104" s="4">
        <v>155000</v>
      </c>
      <c r="H104" s="4">
        <f t="shared" si="1"/>
        <v>126000</v>
      </c>
      <c r="I104">
        <v>0</v>
      </c>
      <c r="J104">
        <v>0</v>
      </c>
      <c r="K104">
        <v>0</v>
      </c>
      <c r="L104">
        <v>0</v>
      </c>
      <c r="M104">
        <v>1</v>
      </c>
    </row>
    <row r="105" spans="1:13" x14ac:dyDescent="0.25">
      <c r="A105" t="s">
        <v>125</v>
      </c>
      <c r="B105" s="5">
        <v>5</v>
      </c>
      <c r="C105" t="s">
        <v>126</v>
      </c>
      <c r="D105" t="s">
        <v>112</v>
      </c>
      <c r="E105" t="s">
        <v>33</v>
      </c>
      <c r="F105" s="4">
        <v>97000</v>
      </c>
      <c r="G105" s="4">
        <v>155000</v>
      </c>
      <c r="H105" s="4">
        <f t="shared" si="1"/>
        <v>126000</v>
      </c>
      <c r="I105">
        <v>0</v>
      </c>
      <c r="J105">
        <v>0</v>
      </c>
      <c r="K105">
        <v>0</v>
      </c>
      <c r="L105">
        <v>0</v>
      </c>
      <c r="M105">
        <v>1</v>
      </c>
    </row>
    <row r="106" spans="1:13" x14ac:dyDescent="0.25">
      <c r="A106" t="s">
        <v>84</v>
      </c>
      <c r="B106" s="5">
        <v>3.2</v>
      </c>
      <c r="C106" t="s">
        <v>127</v>
      </c>
      <c r="D106" t="s">
        <v>128</v>
      </c>
      <c r="E106" t="s">
        <v>33</v>
      </c>
      <c r="F106" s="4">
        <v>156000</v>
      </c>
      <c r="G106" s="4">
        <v>209000</v>
      </c>
      <c r="H106" s="4">
        <f t="shared" si="1"/>
        <v>182500</v>
      </c>
      <c r="I106">
        <v>0</v>
      </c>
      <c r="J106">
        <v>0</v>
      </c>
      <c r="K106">
        <v>0</v>
      </c>
      <c r="L106">
        <v>0</v>
      </c>
      <c r="M106">
        <v>1</v>
      </c>
    </row>
    <row r="107" spans="1:13" x14ac:dyDescent="0.25">
      <c r="A107" t="s">
        <v>121</v>
      </c>
      <c r="B107" s="5">
        <v>3.2</v>
      </c>
      <c r="C107" t="s">
        <v>127</v>
      </c>
      <c r="D107" t="s">
        <v>128</v>
      </c>
      <c r="E107" t="s">
        <v>33</v>
      </c>
      <c r="F107" s="4">
        <v>131000</v>
      </c>
      <c r="G107" s="4">
        <v>175000</v>
      </c>
      <c r="H107" s="4">
        <f t="shared" si="1"/>
        <v>153000</v>
      </c>
      <c r="I107">
        <v>0</v>
      </c>
      <c r="J107">
        <v>0</v>
      </c>
      <c r="K107">
        <v>0</v>
      </c>
      <c r="L107">
        <v>0</v>
      </c>
      <c r="M107">
        <v>1</v>
      </c>
    </row>
    <row r="108" spans="1:13" x14ac:dyDescent="0.25">
      <c r="A108" t="s">
        <v>0</v>
      </c>
      <c r="B108" s="5">
        <v>4.3</v>
      </c>
      <c r="C108" t="s">
        <v>129</v>
      </c>
      <c r="D108" t="s">
        <v>128</v>
      </c>
      <c r="E108" t="s">
        <v>33</v>
      </c>
      <c r="F108" s="4">
        <v>115000</v>
      </c>
      <c r="G108" s="4">
        <v>179000</v>
      </c>
      <c r="H108" s="4">
        <f t="shared" si="1"/>
        <v>147000</v>
      </c>
      <c r="I108">
        <v>0</v>
      </c>
      <c r="J108">
        <v>0</v>
      </c>
      <c r="K108">
        <v>0</v>
      </c>
      <c r="L108">
        <v>0</v>
      </c>
      <c r="M108">
        <v>1</v>
      </c>
    </row>
    <row r="109" spans="1:13" x14ac:dyDescent="0.25">
      <c r="A109" t="s">
        <v>30</v>
      </c>
      <c r="B109" s="5">
        <v>4</v>
      </c>
      <c r="C109" t="s">
        <v>130</v>
      </c>
      <c r="D109" t="s">
        <v>131</v>
      </c>
      <c r="E109" t="s">
        <v>33</v>
      </c>
      <c r="F109" s="4">
        <v>141000</v>
      </c>
      <c r="G109" s="4">
        <v>185000</v>
      </c>
      <c r="H109" s="4">
        <f t="shared" si="1"/>
        <v>163000</v>
      </c>
      <c r="I109">
        <v>1</v>
      </c>
      <c r="J109">
        <v>1</v>
      </c>
      <c r="K109">
        <v>0</v>
      </c>
      <c r="L109">
        <v>0</v>
      </c>
      <c r="M109">
        <v>1</v>
      </c>
    </row>
    <row r="110" spans="1:13" x14ac:dyDescent="0.25">
      <c r="A110" t="s">
        <v>132</v>
      </c>
      <c r="B110" s="5">
        <v>4</v>
      </c>
      <c r="C110" t="s">
        <v>130</v>
      </c>
      <c r="D110" t="s">
        <v>131</v>
      </c>
      <c r="E110" t="s">
        <v>33</v>
      </c>
      <c r="F110" s="4">
        <v>118000</v>
      </c>
      <c r="G110" s="4">
        <v>160000</v>
      </c>
      <c r="H110" s="4">
        <f t="shared" si="1"/>
        <v>139000</v>
      </c>
      <c r="I110">
        <v>1</v>
      </c>
      <c r="J110">
        <v>1</v>
      </c>
      <c r="K110">
        <v>1</v>
      </c>
      <c r="L110">
        <v>1</v>
      </c>
      <c r="M110">
        <v>1</v>
      </c>
    </row>
    <row r="111" spans="1:13" x14ac:dyDescent="0.25">
      <c r="A111" t="s">
        <v>30</v>
      </c>
      <c r="B111" s="5">
        <v>4.4000000000000004</v>
      </c>
      <c r="C111" t="s">
        <v>133</v>
      </c>
      <c r="D111" t="s">
        <v>134</v>
      </c>
      <c r="E111" t="s">
        <v>33</v>
      </c>
      <c r="F111" s="4">
        <v>183000</v>
      </c>
      <c r="G111" s="4">
        <v>192000</v>
      </c>
      <c r="H111" s="4">
        <f t="shared" si="1"/>
        <v>187500</v>
      </c>
      <c r="I111">
        <v>0</v>
      </c>
      <c r="J111">
        <v>0</v>
      </c>
      <c r="K111">
        <v>0</v>
      </c>
      <c r="L111">
        <v>0</v>
      </c>
      <c r="M111">
        <v>1</v>
      </c>
    </row>
    <row r="112" spans="1:13" x14ac:dyDescent="0.25">
      <c r="A112" t="s">
        <v>135</v>
      </c>
      <c r="B112" s="5">
        <v>3.4</v>
      </c>
      <c r="C112" t="s">
        <v>136</v>
      </c>
      <c r="D112" t="s">
        <v>134</v>
      </c>
      <c r="E112" t="s">
        <v>33</v>
      </c>
      <c r="F112" s="4">
        <v>163000</v>
      </c>
      <c r="G112" s="4">
        <v>188000</v>
      </c>
      <c r="H112" s="4">
        <f t="shared" si="1"/>
        <v>175500</v>
      </c>
      <c r="I112">
        <v>0</v>
      </c>
      <c r="J112">
        <v>0</v>
      </c>
      <c r="K112">
        <v>0</v>
      </c>
      <c r="L112">
        <v>0</v>
      </c>
      <c r="M112">
        <v>1</v>
      </c>
    </row>
    <row r="113" spans="1:13" x14ac:dyDescent="0.25">
      <c r="A113" t="s">
        <v>137</v>
      </c>
      <c r="B113" s="5">
        <v>3.9</v>
      </c>
      <c r="C113" t="s">
        <v>138</v>
      </c>
      <c r="D113" t="s">
        <v>134</v>
      </c>
      <c r="E113" t="s">
        <v>33</v>
      </c>
      <c r="F113" s="4">
        <v>155292.79999999999</v>
      </c>
      <c r="G113" s="4">
        <v>205795.20000000001</v>
      </c>
      <c r="H113" s="4">
        <f t="shared" si="1"/>
        <v>180544</v>
      </c>
      <c r="I113">
        <v>0</v>
      </c>
      <c r="J113">
        <v>0</v>
      </c>
      <c r="K113">
        <v>0</v>
      </c>
      <c r="L113">
        <v>0</v>
      </c>
      <c r="M113">
        <v>1</v>
      </c>
    </row>
    <row r="114" spans="1:13" x14ac:dyDescent="0.25">
      <c r="A114" t="s">
        <v>139</v>
      </c>
      <c r="B114" s="5">
        <v>3.9</v>
      </c>
      <c r="C114" t="s">
        <v>138</v>
      </c>
      <c r="D114" t="s">
        <v>134</v>
      </c>
      <c r="E114" t="s">
        <v>33</v>
      </c>
      <c r="F114" s="4">
        <v>150779.20000000001</v>
      </c>
      <c r="G114" s="4">
        <v>199804.79999999999</v>
      </c>
      <c r="H114" s="4">
        <f t="shared" si="1"/>
        <v>175292</v>
      </c>
      <c r="I114">
        <v>0</v>
      </c>
      <c r="J114">
        <v>0</v>
      </c>
      <c r="K114">
        <v>0</v>
      </c>
      <c r="L114">
        <v>0</v>
      </c>
      <c r="M114">
        <v>1</v>
      </c>
    </row>
    <row r="115" spans="1:13" x14ac:dyDescent="0.25">
      <c r="A115" t="s">
        <v>140</v>
      </c>
      <c r="B115" s="5">
        <v>4</v>
      </c>
      <c r="C115" t="s">
        <v>141</v>
      </c>
      <c r="D115" t="s">
        <v>134</v>
      </c>
      <c r="E115" t="s">
        <v>33</v>
      </c>
      <c r="F115" s="4">
        <v>132000</v>
      </c>
      <c r="G115" s="4">
        <v>176000</v>
      </c>
      <c r="H115" s="4">
        <f t="shared" si="1"/>
        <v>154000</v>
      </c>
      <c r="I115">
        <v>0</v>
      </c>
      <c r="J115">
        <v>0</v>
      </c>
      <c r="K115">
        <v>0</v>
      </c>
      <c r="L115">
        <v>0</v>
      </c>
      <c r="M115">
        <v>1</v>
      </c>
    </row>
    <row r="116" spans="1:13" x14ac:dyDescent="0.25">
      <c r="A116" t="s">
        <v>0</v>
      </c>
      <c r="B116" s="5">
        <v>4.4000000000000004</v>
      </c>
      <c r="C116" t="s">
        <v>133</v>
      </c>
      <c r="D116" t="s">
        <v>134</v>
      </c>
      <c r="E116" t="s">
        <v>33</v>
      </c>
      <c r="F116" s="4">
        <v>130000</v>
      </c>
      <c r="G116" s="4">
        <v>146000</v>
      </c>
      <c r="H116" s="4">
        <f t="shared" si="1"/>
        <v>138000</v>
      </c>
      <c r="I116">
        <v>0</v>
      </c>
      <c r="J116">
        <v>0</v>
      </c>
      <c r="K116">
        <v>0</v>
      </c>
      <c r="L116">
        <v>0</v>
      </c>
      <c r="M116">
        <v>1</v>
      </c>
    </row>
    <row r="117" spans="1:13" x14ac:dyDescent="0.25">
      <c r="A117" t="s">
        <v>142</v>
      </c>
      <c r="B117" s="5">
        <v>3.7</v>
      </c>
      <c r="C117" t="s">
        <v>143</v>
      </c>
      <c r="D117" t="s">
        <v>134</v>
      </c>
      <c r="E117" t="s">
        <v>33</v>
      </c>
      <c r="F117" s="4">
        <v>123000</v>
      </c>
      <c r="G117" s="4">
        <v>195000</v>
      </c>
      <c r="H117" s="4">
        <f t="shared" si="1"/>
        <v>159000</v>
      </c>
      <c r="I117">
        <v>0</v>
      </c>
      <c r="J117">
        <v>0</v>
      </c>
      <c r="K117">
        <v>0</v>
      </c>
      <c r="L117">
        <v>0</v>
      </c>
      <c r="M117">
        <v>1</v>
      </c>
    </row>
    <row r="118" spans="1:13" x14ac:dyDescent="0.25">
      <c r="A118" t="s">
        <v>30</v>
      </c>
      <c r="B118" s="5">
        <v>4</v>
      </c>
      <c r="C118" t="s">
        <v>144</v>
      </c>
      <c r="D118" t="s">
        <v>134</v>
      </c>
      <c r="E118" t="s">
        <v>33</v>
      </c>
      <c r="F118" s="4">
        <v>118000</v>
      </c>
      <c r="G118" s="4">
        <v>217000</v>
      </c>
      <c r="H118" s="4">
        <f t="shared" si="1"/>
        <v>167500</v>
      </c>
      <c r="I118">
        <v>1</v>
      </c>
      <c r="J118">
        <v>1</v>
      </c>
      <c r="K118">
        <v>0</v>
      </c>
      <c r="L118">
        <v>0</v>
      </c>
      <c r="M118">
        <v>1</v>
      </c>
    </row>
    <row r="119" spans="1:13" x14ac:dyDescent="0.25">
      <c r="A119" t="s">
        <v>0</v>
      </c>
      <c r="B119" s="5">
        <v>4</v>
      </c>
      <c r="C119" t="s">
        <v>144</v>
      </c>
      <c r="D119" t="s">
        <v>134</v>
      </c>
      <c r="E119" t="s">
        <v>33</v>
      </c>
      <c r="F119" s="4">
        <v>81000</v>
      </c>
      <c r="G119" s="4">
        <v>179000</v>
      </c>
      <c r="H119" s="4">
        <f t="shared" si="1"/>
        <v>130000</v>
      </c>
      <c r="I119">
        <v>1</v>
      </c>
      <c r="J119">
        <v>1</v>
      </c>
      <c r="K119">
        <v>0</v>
      </c>
      <c r="L119">
        <v>0</v>
      </c>
      <c r="M119">
        <v>1</v>
      </c>
    </row>
    <row r="120" spans="1:13" x14ac:dyDescent="0.25">
      <c r="A120" t="s">
        <v>145</v>
      </c>
      <c r="B120" s="5">
        <v>4</v>
      </c>
      <c r="C120" t="s">
        <v>144</v>
      </c>
      <c r="D120" t="s">
        <v>134</v>
      </c>
      <c r="E120" t="s">
        <v>33</v>
      </c>
      <c r="F120" s="4">
        <v>65000</v>
      </c>
      <c r="G120" s="4">
        <v>131000</v>
      </c>
      <c r="H120" s="4">
        <f t="shared" si="1"/>
        <v>98000</v>
      </c>
      <c r="I120">
        <v>0</v>
      </c>
      <c r="J120">
        <v>0</v>
      </c>
      <c r="K120">
        <v>0</v>
      </c>
      <c r="L120">
        <v>0</v>
      </c>
      <c r="M120">
        <v>1</v>
      </c>
    </row>
    <row r="121" spans="1:13" x14ac:dyDescent="0.25">
      <c r="A121" t="s">
        <v>26</v>
      </c>
      <c r="B121" s="5">
        <v>3.4</v>
      </c>
      <c r="C121" t="s">
        <v>146</v>
      </c>
      <c r="D121" t="s">
        <v>147</v>
      </c>
      <c r="E121" t="s">
        <v>33</v>
      </c>
      <c r="F121" s="4">
        <v>128000</v>
      </c>
      <c r="G121" s="4">
        <v>171000</v>
      </c>
      <c r="H121" s="4">
        <f t="shared" si="1"/>
        <v>149500</v>
      </c>
      <c r="I121">
        <v>0</v>
      </c>
      <c r="J121">
        <v>0</v>
      </c>
      <c r="K121">
        <v>0</v>
      </c>
      <c r="L121">
        <v>0</v>
      </c>
      <c r="M121">
        <v>1</v>
      </c>
    </row>
    <row r="122" spans="1:13" x14ac:dyDescent="0.25">
      <c r="A122" t="s">
        <v>148</v>
      </c>
      <c r="C122" t="s">
        <v>149</v>
      </c>
      <c r="D122" t="s">
        <v>150</v>
      </c>
      <c r="E122" t="s">
        <v>33</v>
      </c>
      <c r="F122" s="4">
        <v>130000</v>
      </c>
      <c r="G122" s="4">
        <v>176000</v>
      </c>
      <c r="H122" s="4">
        <f t="shared" si="1"/>
        <v>153000</v>
      </c>
      <c r="I122">
        <v>0</v>
      </c>
      <c r="J122">
        <v>0</v>
      </c>
      <c r="K122">
        <v>0</v>
      </c>
      <c r="L122">
        <v>0</v>
      </c>
      <c r="M122">
        <v>1</v>
      </c>
    </row>
    <row r="123" spans="1:13" x14ac:dyDescent="0.25">
      <c r="A123" t="s">
        <v>0</v>
      </c>
      <c r="B123" s="5">
        <v>2.6</v>
      </c>
      <c r="C123" t="s">
        <v>151</v>
      </c>
      <c r="D123" t="s">
        <v>152</v>
      </c>
      <c r="E123" t="s">
        <v>33</v>
      </c>
      <c r="F123" s="4">
        <v>82000</v>
      </c>
      <c r="G123" s="4">
        <v>96000</v>
      </c>
      <c r="H123" s="4">
        <f t="shared" si="1"/>
        <v>89000</v>
      </c>
      <c r="I123">
        <v>0</v>
      </c>
      <c r="J123">
        <v>0</v>
      </c>
      <c r="K123">
        <v>0</v>
      </c>
      <c r="L123">
        <v>0</v>
      </c>
      <c r="M123">
        <v>1</v>
      </c>
    </row>
    <row r="124" spans="1:13" x14ac:dyDescent="0.25">
      <c r="A124" t="s">
        <v>30</v>
      </c>
      <c r="B124" s="5">
        <v>3.4</v>
      </c>
      <c r="C124" t="s">
        <v>7</v>
      </c>
      <c r="D124" t="s">
        <v>153</v>
      </c>
      <c r="E124" t="s">
        <v>33</v>
      </c>
      <c r="F124" s="4">
        <v>144000</v>
      </c>
      <c r="G124" s="4">
        <v>200000</v>
      </c>
      <c r="H124" s="4">
        <f t="shared" si="1"/>
        <v>172000</v>
      </c>
      <c r="I124">
        <v>0</v>
      </c>
      <c r="J124">
        <v>1</v>
      </c>
      <c r="K124">
        <v>0</v>
      </c>
      <c r="L124">
        <v>0</v>
      </c>
      <c r="M124">
        <v>1</v>
      </c>
    </row>
    <row r="125" spans="1:13" x14ac:dyDescent="0.25">
      <c r="A125" t="s">
        <v>154</v>
      </c>
      <c r="B125" s="5">
        <v>3.7</v>
      </c>
      <c r="C125" t="s">
        <v>155</v>
      </c>
      <c r="D125" t="s">
        <v>156</v>
      </c>
      <c r="E125" t="s">
        <v>33</v>
      </c>
      <c r="F125" s="4">
        <v>157310.39999999999</v>
      </c>
      <c r="G125" s="4">
        <v>157310.39999999999</v>
      </c>
      <c r="H125" s="4">
        <f t="shared" si="1"/>
        <v>157310.39999999999</v>
      </c>
      <c r="I125">
        <v>0</v>
      </c>
      <c r="J125">
        <v>0</v>
      </c>
      <c r="K125">
        <v>0</v>
      </c>
      <c r="L125">
        <v>0</v>
      </c>
      <c r="M125">
        <v>1</v>
      </c>
    </row>
    <row r="126" spans="1:13" x14ac:dyDescent="0.25">
      <c r="A126" t="s">
        <v>110</v>
      </c>
      <c r="B126" s="5">
        <v>4.5</v>
      </c>
      <c r="C126" t="s">
        <v>111</v>
      </c>
      <c r="D126" t="s">
        <v>156</v>
      </c>
      <c r="E126" t="s">
        <v>33</v>
      </c>
      <c r="F126" s="4">
        <v>144000</v>
      </c>
      <c r="G126" s="4">
        <v>191000</v>
      </c>
      <c r="H126" s="4">
        <f t="shared" si="1"/>
        <v>167500</v>
      </c>
      <c r="I126">
        <v>0</v>
      </c>
      <c r="J126">
        <v>0</v>
      </c>
      <c r="K126">
        <v>0</v>
      </c>
      <c r="L126">
        <v>0</v>
      </c>
      <c r="M126">
        <v>1</v>
      </c>
    </row>
    <row r="127" spans="1:13" x14ac:dyDescent="0.25">
      <c r="A127" t="s">
        <v>84</v>
      </c>
      <c r="B127" s="5">
        <v>4.5</v>
      </c>
      <c r="C127" t="s">
        <v>111</v>
      </c>
      <c r="D127" t="s">
        <v>156</v>
      </c>
      <c r="E127" t="s">
        <v>33</v>
      </c>
      <c r="F127" s="4">
        <v>144000</v>
      </c>
      <c r="G127" s="4">
        <v>193000</v>
      </c>
      <c r="H127" s="4">
        <f t="shared" si="1"/>
        <v>168500</v>
      </c>
      <c r="I127">
        <v>0</v>
      </c>
      <c r="J127">
        <v>0</v>
      </c>
      <c r="K127">
        <v>0</v>
      </c>
      <c r="L127">
        <v>0</v>
      </c>
      <c r="M127">
        <v>1</v>
      </c>
    </row>
    <row r="128" spans="1:13" x14ac:dyDescent="0.25">
      <c r="A128" t="s">
        <v>110</v>
      </c>
      <c r="B128" s="5">
        <v>4.5</v>
      </c>
      <c r="C128" t="s">
        <v>111</v>
      </c>
      <c r="D128" t="s">
        <v>156</v>
      </c>
      <c r="E128" t="s">
        <v>33</v>
      </c>
      <c r="F128" s="4">
        <v>144000</v>
      </c>
      <c r="G128" s="4">
        <v>191000</v>
      </c>
      <c r="H128" s="4">
        <f t="shared" si="1"/>
        <v>167500</v>
      </c>
      <c r="I128">
        <v>0</v>
      </c>
      <c r="J128">
        <v>0</v>
      </c>
      <c r="K128">
        <v>0</v>
      </c>
      <c r="L128">
        <v>0</v>
      </c>
      <c r="M128">
        <v>1</v>
      </c>
    </row>
    <row r="129" spans="1:13" x14ac:dyDescent="0.25">
      <c r="A129" t="s">
        <v>157</v>
      </c>
      <c r="B129" s="5">
        <v>3.9</v>
      </c>
      <c r="C129" t="s">
        <v>158</v>
      </c>
      <c r="D129" t="s">
        <v>156</v>
      </c>
      <c r="E129" t="s">
        <v>33</v>
      </c>
      <c r="F129" s="4">
        <v>138000</v>
      </c>
      <c r="G129" s="4">
        <v>186000</v>
      </c>
      <c r="H129" s="4">
        <f t="shared" si="1"/>
        <v>162000</v>
      </c>
      <c r="I129">
        <v>0</v>
      </c>
      <c r="J129">
        <v>0</v>
      </c>
      <c r="K129">
        <v>0</v>
      </c>
      <c r="L129">
        <v>0</v>
      </c>
      <c r="M129">
        <v>1</v>
      </c>
    </row>
    <row r="130" spans="1:13" x14ac:dyDescent="0.25">
      <c r="A130" t="s">
        <v>157</v>
      </c>
      <c r="B130" s="5">
        <v>3.9</v>
      </c>
      <c r="C130" t="s">
        <v>158</v>
      </c>
      <c r="D130" t="s">
        <v>156</v>
      </c>
      <c r="E130" t="s">
        <v>33</v>
      </c>
      <c r="F130" s="4">
        <v>138000</v>
      </c>
      <c r="G130" s="4">
        <v>186000</v>
      </c>
      <c r="H130" s="4">
        <f t="shared" si="1"/>
        <v>162000</v>
      </c>
      <c r="I130">
        <v>0</v>
      </c>
      <c r="J130">
        <v>0</v>
      </c>
      <c r="K130">
        <v>0</v>
      </c>
      <c r="L130">
        <v>0</v>
      </c>
      <c r="M130">
        <v>1</v>
      </c>
    </row>
    <row r="131" spans="1:13" x14ac:dyDescent="0.25">
      <c r="A131" t="s">
        <v>0</v>
      </c>
      <c r="B131" s="5">
        <v>3.5</v>
      </c>
      <c r="C131" t="s">
        <v>159</v>
      </c>
      <c r="D131" t="s">
        <v>156</v>
      </c>
      <c r="E131" t="s">
        <v>33</v>
      </c>
      <c r="F131" s="4">
        <v>137000</v>
      </c>
      <c r="G131" s="4">
        <v>137000</v>
      </c>
      <c r="H131" s="4">
        <f t="shared" ref="H131:H194" si="2">(F131+G131)/2</f>
        <v>137000</v>
      </c>
      <c r="I131">
        <v>0</v>
      </c>
      <c r="J131">
        <v>0</v>
      </c>
      <c r="K131">
        <v>0</v>
      </c>
      <c r="L131">
        <v>0</v>
      </c>
      <c r="M131">
        <v>1</v>
      </c>
    </row>
    <row r="132" spans="1:13" x14ac:dyDescent="0.25">
      <c r="A132" t="s">
        <v>160</v>
      </c>
      <c r="B132" s="5">
        <v>4.3</v>
      </c>
      <c r="C132" t="s">
        <v>161</v>
      </c>
      <c r="D132" t="s">
        <v>156</v>
      </c>
      <c r="E132" t="s">
        <v>33</v>
      </c>
      <c r="F132" s="4">
        <v>93000</v>
      </c>
      <c r="G132" s="4">
        <v>132000</v>
      </c>
      <c r="H132" s="4">
        <f t="shared" si="2"/>
        <v>112500</v>
      </c>
      <c r="I132">
        <v>1</v>
      </c>
      <c r="J132">
        <v>1</v>
      </c>
      <c r="K132">
        <v>0</v>
      </c>
      <c r="L132">
        <v>0</v>
      </c>
      <c r="M132">
        <v>1</v>
      </c>
    </row>
    <row r="133" spans="1:13" x14ac:dyDescent="0.25">
      <c r="A133" t="s">
        <v>162</v>
      </c>
      <c r="B133" s="5">
        <v>4.4000000000000004</v>
      </c>
      <c r="C133" t="s">
        <v>163</v>
      </c>
      <c r="D133" t="s">
        <v>164</v>
      </c>
      <c r="E133" t="s">
        <v>33</v>
      </c>
      <c r="F133" s="4">
        <v>249600</v>
      </c>
      <c r="G133" s="4">
        <v>260000</v>
      </c>
      <c r="H133" s="4">
        <f t="shared" si="2"/>
        <v>254800</v>
      </c>
      <c r="I133">
        <v>0</v>
      </c>
      <c r="J133">
        <v>0</v>
      </c>
      <c r="K133">
        <v>0</v>
      </c>
      <c r="L133">
        <v>0</v>
      </c>
      <c r="M133">
        <v>1</v>
      </c>
    </row>
    <row r="134" spans="1:13" x14ac:dyDescent="0.25">
      <c r="A134" t="s">
        <v>165</v>
      </c>
      <c r="B134" s="5">
        <v>3.3</v>
      </c>
      <c r="C134" t="s">
        <v>166</v>
      </c>
      <c r="D134" t="s">
        <v>164</v>
      </c>
      <c r="E134" t="s">
        <v>33</v>
      </c>
      <c r="F134" s="4">
        <v>211000</v>
      </c>
      <c r="G134" s="4">
        <v>262000</v>
      </c>
      <c r="H134" s="4">
        <f t="shared" si="2"/>
        <v>236500</v>
      </c>
      <c r="I134">
        <v>0</v>
      </c>
      <c r="J134">
        <v>0</v>
      </c>
      <c r="K134">
        <v>0</v>
      </c>
      <c r="L134">
        <v>0</v>
      </c>
      <c r="M134">
        <v>1</v>
      </c>
    </row>
    <row r="135" spans="1:13" x14ac:dyDescent="0.25">
      <c r="A135" t="s">
        <v>157</v>
      </c>
      <c r="B135" s="5">
        <v>3.5</v>
      </c>
      <c r="C135" t="s">
        <v>167</v>
      </c>
      <c r="D135" t="s">
        <v>164</v>
      </c>
      <c r="E135" t="s">
        <v>33</v>
      </c>
      <c r="F135" s="4">
        <v>190000</v>
      </c>
      <c r="G135" s="4">
        <v>351000</v>
      </c>
      <c r="H135" s="4">
        <f t="shared" si="2"/>
        <v>270500</v>
      </c>
      <c r="I135">
        <v>0</v>
      </c>
      <c r="J135">
        <v>0</v>
      </c>
      <c r="K135">
        <v>0</v>
      </c>
      <c r="L135">
        <v>0</v>
      </c>
      <c r="M135">
        <v>1</v>
      </c>
    </row>
    <row r="136" spans="1:13" x14ac:dyDescent="0.25">
      <c r="A136" t="s">
        <v>84</v>
      </c>
      <c r="B136" s="5">
        <v>4.0999999999999996</v>
      </c>
      <c r="C136" t="s">
        <v>168</v>
      </c>
      <c r="D136" t="s">
        <v>164</v>
      </c>
      <c r="E136" t="s">
        <v>33</v>
      </c>
      <c r="F136" s="4">
        <v>188000</v>
      </c>
      <c r="G136" s="4">
        <v>306000</v>
      </c>
      <c r="H136" s="4">
        <f t="shared" si="2"/>
        <v>247000</v>
      </c>
      <c r="I136">
        <v>0</v>
      </c>
      <c r="J136">
        <v>0</v>
      </c>
      <c r="K136">
        <v>0</v>
      </c>
      <c r="L136">
        <v>0</v>
      </c>
      <c r="M136">
        <v>1</v>
      </c>
    </row>
    <row r="137" spans="1:13" x14ac:dyDescent="0.25">
      <c r="A137" t="s">
        <v>169</v>
      </c>
      <c r="B137" s="5">
        <v>4.4000000000000004</v>
      </c>
      <c r="C137" t="s">
        <v>163</v>
      </c>
      <c r="D137" t="s">
        <v>164</v>
      </c>
      <c r="E137" t="s">
        <v>33</v>
      </c>
      <c r="F137" s="4">
        <v>185000</v>
      </c>
      <c r="G137" s="4">
        <v>245000</v>
      </c>
      <c r="H137" s="4">
        <f t="shared" si="2"/>
        <v>215000</v>
      </c>
      <c r="I137">
        <v>0</v>
      </c>
      <c r="J137">
        <v>0</v>
      </c>
      <c r="K137">
        <v>0</v>
      </c>
      <c r="L137">
        <v>0</v>
      </c>
      <c r="M137">
        <v>1</v>
      </c>
    </row>
    <row r="138" spans="1:13" x14ac:dyDescent="0.25">
      <c r="A138" t="s">
        <v>170</v>
      </c>
      <c r="B138" s="5">
        <v>3.6</v>
      </c>
      <c r="C138" t="s">
        <v>171</v>
      </c>
      <c r="D138" t="s">
        <v>164</v>
      </c>
      <c r="E138" t="s">
        <v>33</v>
      </c>
      <c r="F138" s="4">
        <v>172000</v>
      </c>
      <c r="G138" s="4">
        <v>285000</v>
      </c>
      <c r="H138" s="4">
        <f t="shared" si="2"/>
        <v>228500</v>
      </c>
      <c r="I138">
        <v>0</v>
      </c>
      <c r="J138">
        <v>0</v>
      </c>
      <c r="K138">
        <v>0</v>
      </c>
      <c r="L138">
        <v>0</v>
      </c>
      <c r="M138">
        <v>1</v>
      </c>
    </row>
    <row r="139" spans="1:13" x14ac:dyDescent="0.25">
      <c r="A139" t="s">
        <v>172</v>
      </c>
      <c r="B139" s="5">
        <v>4.4000000000000004</v>
      </c>
      <c r="C139" t="s">
        <v>173</v>
      </c>
      <c r="D139" t="s">
        <v>164</v>
      </c>
      <c r="E139" t="s">
        <v>33</v>
      </c>
      <c r="F139" s="4">
        <v>169000</v>
      </c>
      <c r="G139" s="4">
        <v>272000</v>
      </c>
      <c r="H139" s="4">
        <f t="shared" si="2"/>
        <v>220500</v>
      </c>
      <c r="I139">
        <v>0</v>
      </c>
      <c r="J139">
        <v>0</v>
      </c>
      <c r="K139">
        <v>0</v>
      </c>
      <c r="L139">
        <v>0</v>
      </c>
      <c r="M139">
        <v>1</v>
      </c>
    </row>
    <row r="140" spans="1:13" x14ac:dyDescent="0.25">
      <c r="A140" t="s">
        <v>174</v>
      </c>
      <c r="B140" s="5">
        <v>4.0999999999999996</v>
      </c>
      <c r="C140" t="s">
        <v>168</v>
      </c>
      <c r="D140" t="s">
        <v>164</v>
      </c>
      <c r="E140" t="s">
        <v>33</v>
      </c>
      <c r="F140" s="4">
        <v>160000</v>
      </c>
      <c r="G140" s="4">
        <v>220000</v>
      </c>
      <c r="H140" s="4">
        <f t="shared" si="2"/>
        <v>190000</v>
      </c>
      <c r="I140">
        <v>0</v>
      </c>
      <c r="J140">
        <v>0</v>
      </c>
      <c r="K140">
        <v>0</v>
      </c>
      <c r="L140">
        <v>0</v>
      </c>
      <c r="M140">
        <v>1</v>
      </c>
    </row>
    <row r="141" spans="1:13" x14ac:dyDescent="0.25">
      <c r="A141" t="s">
        <v>0</v>
      </c>
      <c r="B141" s="5">
        <v>4.3</v>
      </c>
      <c r="C141" t="s">
        <v>175</v>
      </c>
      <c r="D141" t="s">
        <v>164</v>
      </c>
      <c r="E141" t="s">
        <v>33</v>
      </c>
      <c r="F141" s="4">
        <v>160000</v>
      </c>
      <c r="G141" s="4">
        <v>170000</v>
      </c>
      <c r="H141" s="4">
        <f t="shared" si="2"/>
        <v>165000</v>
      </c>
      <c r="I141">
        <v>0</v>
      </c>
      <c r="J141">
        <v>0</v>
      </c>
      <c r="K141">
        <v>0</v>
      </c>
      <c r="L141">
        <v>0</v>
      </c>
      <c r="M141">
        <v>1</v>
      </c>
    </row>
    <row r="142" spans="1:13" x14ac:dyDescent="0.25">
      <c r="A142" t="s">
        <v>176</v>
      </c>
      <c r="B142" s="5">
        <v>4.8</v>
      </c>
      <c r="C142" t="s">
        <v>177</v>
      </c>
      <c r="D142" t="s">
        <v>164</v>
      </c>
      <c r="E142" t="s">
        <v>33</v>
      </c>
      <c r="F142" s="4">
        <v>160000</v>
      </c>
      <c r="G142" s="4">
        <v>255000</v>
      </c>
      <c r="H142" s="4">
        <f t="shared" si="2"/>
        <v>207500</v>
      </c>
      <c r="I142">
        <v>0</v>
      </c>
      <c r="J142">
        <v>0</v>
      </c>
      <c r="K142">
        <v>0</v>
      </c>
      <c r="L142">
        <v>0</v>
      </c>
      <c r="M142">
        <v>1</v>
      </c>
    </row>
    <row r="143" spans="1:13" x14ac:dyDescent="0.25">
      <c r="A143" t="s">
        <v>178</v>
      </c>
      <c r="B143" s="5">
        <v>4.8</v>
      </c>
      <c r="C143" t="s">
        <v>177</v>
      </c>
      <c r="D143" t="s">
        <v>164</v>
      </c>
      <c r="E143" t="s">
        <v>33</v>
      </c>
      <c r="F143" s="4">
        <v>160000</v>
      </c>
      <c r="G143" s="4">
        <v>210000</v>
      </c>
      <c r="H143" s="4">
        <f t="shared" si="2"/>
        <v>185000</v>
      </c>
      <c r="I143">
        <v>0</v>
      </c>
      <c r="J143">
        <v>0</v>
      </c>
      <c r="K143">
        <v>0</v>
      </c>
      <c r="L143">
        <v>0</v>
      </c>
      <c r="M143">
        <v>1</v>
      </c>
    </row>
    <row r="144" spans="1:13" x14ac:dyDescent="0.25">
      <c r="A144" t="s">
        <v>30</v>
      </c>
      <c r="B144" s="5">
        <v>4.2</v>
      </c>
      <c r="C144" t="s">
        <v>179</v>
      </c>
      <c r="D144" t="s">
        <v>164</v>
      </c>
      <c r="E144" t="s">
        <v>33</v>
      </c>
      <c r="F144" s="4">
        <v>151000</v>
      </c>
      <c r="G144" s="4">
        <v>200000</v>
      </c>
      <c r="H144" s="4">
        <f t="shared" si="2"/>
        <v>175500</v>
      </c>
      <c r="I144">
        <v>0</v>
      </c>
      <c r="J144">
        <v>0</v>
      </c>
      <c r="K144">
        <v>0</v>
      </c>
      <c r="L144">
        <v>0</v>
      </c>
      <c r="M144">
        <v>1</v>
      </c>
    </row>
    <row r="145" spans="1:13" x14ac:dyDescent="0.25">
      <c r="A145" t="s">
        <v>180</v>
      </c>
      <c r="B145" s="5">
        <v>4.7</v>
      </c>
      <c r="C145" t="s">
        <v>181</v>
      </c>
      <c r="D145" t="s">
        <v>164</v>
      </c>
      <c r="E145" t="s">
        <v>33</v>
      </c>
      <c r="F145" s="4">
        <v>150000</v>
      </c>
      <c r="G145" s="4">
        <v>175000</v>
      </c>
      <c r="H145" s="4">
        <f t="shared" si="2"/>
        <v>162500</v>
      </c>
      <c r="I145">
        <v>0</v>
      </c>
      <c r="J145">
        <v>0</v>
      </c>
      <c r="K145">
        <v>0</v>
      </c>
      <c r="L145">
        <v>0</v>
      </c>
      <c r="M145">
        <v>1</v>
      </c>
    </row>
    <row r="146" spans="1:13" x14ac:dyDescent="0.25">
      <c r="A146" t="s">
        <v>182</v>
      </c>
      <c r="B146" s="5">
        <v>3.6</v>
      </c>
      <c r="C146" t="s">
        <v>183</v>
      </c>
      <c r="D146" t="s">
        <v>164</v>
      </c>
      <c r="E146" t="s">
        <v>33</v>
      </c>
      <c r="F146" s="4">
        <v>146000</v>
      </c>
      <c r="G146" s="4">
        <v>194000</v>
      </c>
      <c r="H146" s="4">
        <f t="shared" si="2"/>
        <v>170000</v>
      </c>
      <c r="I146">
        <v>0</v>
      </c>
      <c r="J146">
        <v>0</v>
      </c>
      <c r="K146">
        <v>0</v>
      </c>
      <c r="L146">
        <v>0</v>
      </c>
      <c r="M146">
        <v>1</v>
      </c>
    </row>
    <row r="147" spans="1:13" x14ac:dyDescent="0.25">
      <c r="A147" t="s">
        <v>184</v>
      </c>
      <c r="B147" s="5">
        <v>4.8</v>
      </c>
      <c r="C147" t="s">
        <v>177</v>
      </c>
      <c r="D147" t="s">
        <v>164</v>
      </c>
      <c r="E147" t="s">
        <v>33</v>
      </c>
      <c r="F147" s="4">
        <v>140000</v>
      </c>
      <c r="G147" s="4">
        <v>190000</v>
      </c>
      <c r="H147" s="4">
        <f t="shared" si="2"/>
        <v>165000</v>
      </c>
      <c r="I147">
        <v>0</v>
      </c>
      <c r="J147">
        <v>0</v>
      </c>
      <c r="K147">
        <v>0</v>
      </c>
      <c r="L147">
        <v>0</v>
      </c>
      <c r="M147">
        <v>1</v>
      </c>
    </row>
    <row r="148" spans="1:13" x14ac:dyDescent="0.25">
      <c r="A148" t="s">
        <v>185</v>
      </c>
      <c r="B148" s="5">
        <v>4.3</v>
      </c>
      <c r="C148" t="s">
        <v>119</v>
      </c>
      <c r="D148" t="s">
        <v>164</v>
      </c>
      <c r="E148" t="s">
        <v>33</v>
      </c>
      <c r="F148" s="4">
        <v>138000</v>
      </c>
      <c r="G148" s="4">
        <v>188000</v>
      </c>
      <c r="H148" s="4">
        <f t="shared" si="2"/>
        <v>163000</v>
      </c>
      <c r="I148">
        <v>0</v>
      </c>
      <c r="J148">
        <v>0</v>
      </c>
      <c r="K148">
        <v>0</v>
      </c>
      <c r="L148">
        <v>0</v>
      </c>
      <c r="M148">
        <v>1</v>
      </c>
    </row>
    <row r="149" spans="1:13" x14ac:dyDescent="0.25">
      <c r="A149" t="s">
        <v>0</v>
      </c>
      <c r="B149" s="5">
        <v>3.8</v>
      </c>
      <c r="C149" t="s">
        <v>186</v>
      </c>
      <c r="D149" t="s">
        <v>164</v>
      </c>
      <c r="E149" t="s">
        <v>33</v>
      </c>
      <c r="F149" s="4">
        <v>136000</v>
      </c>
      <c r="G149" s="4">
        <v>186000</v>
      </c>
      <c r="H149" s="4">
        <f t="shared" si="2"/>
        <v>161000</v>
      </c>
      <c r="I149">
        <v>0</v>
      </c>
      <c r="J149">
        <v>0</v>
      </c>
      <c r="K149">
        <v>0</v>
      </c>
      <c r="L149">
        <v>0</v>
      </c>
      <c r="M149">
        <v>1</v>
      </c>
    </row>
    <row r="150" spans="1:13" x14ac:dyDescent="0.25">
      <c r="A150" t="s">
        <v>187</v>
      </c>
      <c r="B150" s="5">
        <v>3.4</v>
      </c>
      <c r="C150" t="s">
        <v>188</v>
      </c>
      <c r="D150" t="s">
        <v>164</v>
      </c>
      <c r="E150" t="s">
        <v>33</v>
      </c>
      <c r="F150" s="4">
        <v>134000</v>
      </c>
      <c r="G150" s="4">
        <v>182000</v>
      </c>
      <c r="H150" s="4">
        <f t="shared" si="2"/>
        <v>158000</v>
      </c>
      <c r="I150">
        <v>0</v>
      </c>
      <c r="J150">
        <v>0</v>
      </c>
      <c r="K150">
        <v>0</v>
      </c>
      <c r="L150">
        <v>0</v>
      </c>
      <c r="M150">
        <v>1</v>
      </c>
    </row>
    <row r="151" spans="1:13" x14ac:dyDescent="0.25">
      <c r="A151" t="s">
        <v>189</v>
      </c>
      <c r="B151" s="5">
        <v>3.6</v>
      </c>
      <c r="C151" t="s">
        <v>190</v>
      </c>
      <c r="D151" t="s">
        <v>164</v>
      </c>
      <c r="E151" t="s">
        <v>33</v>
      </c>
      <c r="F151" s="4">
        <v>132000</v>
      </c>
      <c r="G151" s="4">
        <v>193000</v>
      </c>
      <c r="H151" s="4">
        <f t="shared" si="2"/>
        <v>162500</v>
      </c>
      <c r="I151">
        <v>0</v>
      </c>
      <c r="J151">
        <v>0</v>
      </c>
      <c r="K151">
        <v>0</v>
      </c>
      <c r="L151">
        <v>0</v>
      </c>
      <c r="M151">
        <v>1</v>
      </c>
    </row>
    <row r="152" spans="1:13" x14ac:dyDescent="0.25">
      <c r="A152" t="s">
        <v>191</v>
      </c>
      <c r="B152" s="5">
        <v>3.9</v>
      </c>
      <c r="C152" t="s">
        <v>192</v>
      </c>
      <c r="D152" t="s">
        <v>164</v>
      </c>
      <c r="E152" t="s">
        <v>33</v>
      </c>
      <c r="F152" s="4">
        <v>128000</v>
      </c>
      <c r="G152" s="4">
        <v>192000</v>
      </c>
      <c r="H152" s="4">
        <f t="shared" si="2"/>
        <v>160000</v>
      </c>
      <c r="I152">
        <v>0</v>
      </c>
      <c r="J152">
        <v>0</v>
      </c>
      <c r="K152">
        <v>0</v>
      </c>
      <c r="L152">
        <v>0</v>
      </c>
      <c r="M152">
        <v>1</v>
      </c>
    </row>
    <row r="153" spans="1:13" x14ac:dyDescent="0.25">
      <c r="A153" t="s">
        <v>193</v>
      </c>
      <c r="B153" s="5">
        <v>3.1</v>
      </c>
      <c r="C153" t="s">
        <v>194</v>
      </c>
      <c r="D153" t="s">
        <v>164</v>
      </c>
      <c r="E153" t="s">
        <v>33</v>
      </c>
      <c r="F153" s="4">
        <v>127000</v>
      </c>
      <c r="G153" s="4">
        <v>173000</v>
      </c>
      <c r="H153" s="4">
        <f t="shared" si="2"/>
        <v>150000</v>
      </c>
      <c r="I153">
        <v>1</v>
      </c>
      <c r="J153">
        <v>0</v>
      </c>
      <c r="K153">
        <v>1</v>
      </c>
      <c r="L153">
        <v>0</v>
      </c>
      <c r="M153">
        <v>1</v>
      </c>
    </row>
    <row r="154" spans="1:13" x14ac:dyDescent="0.25">
      <c r="A154" t="s">
        <v>195</v>
      </c>
      <c r="B154" s="5">
        <v>3.1</v>
      </c>
      <c r="C154" t="s">
        <v>196</v>
      </c>
      <c r="D154" t="s">
        <v>164</v>
      </c>
      <c r="E154" t="s">
        <v>33</v>
      </c>
      <c r="F154" s="4">
        <v>125000</v>
      </c>
      <c r="G154" s="4">
        <v>125000</v>
      </c>
      <c r="H154" s="4">
        <f t="shared" si="2"/>
        <v>125000</v>
      </c>
      <c r="I154">
        <v>0</v>
      </c>
      <c r="J154">
        <v>0</v>
      </c>
      <c r="K154">
        <v>0</v>
      </c>
      <c r="L154">
        <v>0</v>
      </c>
      <c r="M154">
        <v>1</v>
      </c>
    </row>
    <row r="155" spans="1:13" x14ac:dyDescent="0.25">
      <c r="A155" t="s">
        <v>197</v>
      </c>
      <c r="B155" s="5">
        <v>4.3</v>
      </c>
      <c r="C155" t="s">
        <v>198</v>
      </c>
      <c r="D155" t="s">
        <v>164</v>
      </c>
      <c r="E155" t="s">
        <v>33</v>
      </c>
      <c r="F155" s="4">
        <v>123000</v>
      </c>
      <c r="G155" s="4">
        <v>179000</v>
      </c>
      <c r="H155" s="4">
        <f t="shared" si="2"/>
        <v>151000</v>
      </c>
      <c r="I155">
        <v>0</v>
      </c>
      <c r="J155">
        <v>0</v>
      </c>
      <c r="K155">
        <v>0</v>
      </c>
      <c r="L155">
        <v>0</v>
      </c>
      <c r="M155">
        <v>1</v>
      </c>
    </row>
    <row r="156" spans="1:13" x14ac:dyDescent="0.25">
      <c r="A156" t="s">
        <v>199</v>
      </c>
      <c r="B156" s="5">
        <v>3.8</v>
      </c>
      <c r="C156" t="s">
        <v>186</v>
      </c>
      <c r="D156" t="s">
        <v>164</v>
      </c>
      <c r="E156" t="s">
        <v>33</v>
      </c>
      <c r="F156" s="4">
        <v>123000</v>
      </c>
      <c r="G156" s="4">
        <v>177000</v>
      </c>
      <c r="H156" s="4">
        <f t="shared" si="2"/>
        <v>150000</v>
      </c>
      <c r="I156">
        <v>0</v>
      </c>
      <c r="J156">
        <v>0</v>
      </c>
      <c r="K156">
        <v>0</v>
      </c>
      <c r="L156">
        <v>0</v>
      </c>
      <c r="M156">
        <v>1</v>
      </c>
    </row>
    <row r="157" spans="1:13" x14ac:dyDescent="0.25">
      <c r="A157" t="s">
        <v>0</v>
      </c>
      <c r="B157" s="5">
        <v>4.0999999999999996</v>
      </c>
      <c r="C157" t="s">
        <v>200</v>
      </c>
      <c r="D157" t="s">
        <v>164</v>
      </c>
      <c r="E157" t="s">
        <v>33</v>
      </c>
      <c r="F157" s="4">
        <v>122000</v>
      </c>
      <c r="G157" s="4">
        <v>175000</v>
      </c>
      <c r="H157" s="4">
        <f t="shared" si="2"/>
        <v>148500</v>
      </c>
      <c r="I157">
        <v>0</v>
      </c>
      <c r="J157">
        <v>0</v>
      </c>
      <c r="K157">
        <v>0</v>
      </c>
      <c r="L157">
        <v>0</v>
      </c>
      <c r="M157">
        <v>1</v>
      </c>
    </row>
    <row r="158" spans="1:13" x14ac:dyDescent="0.25">
      <c r="A158" t="s">
        <v>201</v>
      </c>
      <c r="B158" s="5">
        <v>3.7</v>
      </c>
      <c r="C158" t="s">
        <v>202</v>
      </c>
      <c r="D158" t="s">
        <v>164</v>
      </c>
      <c r="E158" t="s">
        <v>33</v>
      </c>
      <c r="F158" s="4">
        <v>115000</v>
      </c>
      <c r="G158" s="4">
        <v>155000</v>
      </c>
      <c r="H158" s="4">
        <f t="shared" si="2"/>
        <v>135000</v>
      </c>
      <c r="I158">
        <v>0</v>
      </c>
      <c r="J158">
        <v>0</v>
      </c>
      <c r="K158">
        <v>0</v>
      </c>
      <c r="L158">
        <v>0</v>
      </c>
      <c r="M158">
        <v>1</v>
      </c>
    </row>
    <row r="159" spans="1:13" x14ac:dyDescent="0.25">
      <c r="A159" t="s">
        <v>110</v>
      </c>
      <c r="B159" s="5">
        <v>3.5</v>
      </c>
      <c r="C159" t="s">
        <v>167</v>
      </c>
      <c r="D159" t="s">
        <v>164</v>
      </c>
      <c r="E159" t="s">
        <v>33</v>
      </c>
      <c r="F159" s="4">
        <v>112000</v>
      </c>
      <c r="G159" s="4">
        <v>207000</v>
      </c>
      <c r="H159" s="4">
        <f t="shared" si="2"/>
        <v>159500</v>
      </c>
      <c r="I159">
        <v>0</v>
      </c>
      <c r="J159">
        <v>0</v>
      </c>
      <c r="K159">
        <v>0</v>
      </c>
      <c r="L159">
        <v>0</v>
      </c>
      <c r="M159">
        <v>1</v>
      </c>
    </row>
    <row r="160" spans="1:13" x14ac:dyDescent="0.25">
      <c r="A160" t="s">
        <v>0</v>
      </c>
      <c r="B160" s="5">
        <v>4.0999999999999996</v>
      </c>
      <c r="C160" t="s">
        <v>203</v>
      </c>
      <c r="D160" t="s">
        <v>164</v>
      </c>
      <c r="E160" t="s">
        <v>33</v>
      </c>
      <c r="F160" s="4">
        <v>112000</v>
      </c>
      <c r="G160" s="4">
        <v>157000</v>
      </c>
      <c r="H160" s="4">
        <f t="shared" si="2"/>
        <v>134500</v>
      </c>
      <c r="I160">
        <v>0</v>
      </c>
      <c r="J160">
        <v>0</v>
      </c>
      <c r="K160">
        <v>0</v>
      </c>
      <c r="L160">
        <v>0</v>
      </c>
      <c r="M160">
        <v>1</v>
      </c>
    </row>
    <row r="161" spans="1:13" x14ac:dyDescent="0.25">
      <c r="A161" t="s">
        <v>0</v>
      </c>
      <c r="B161" s="5">
        <v>5</v>
      </c>
      <c r="C161" t="s">
        <v>204</v>
      </c>
      <c r="D161" t="s">
        <v>164</v>
      </c>
      <c r="E161" t="s">
        <v>33</v>
      </c>
      <c r="F161" s="4">
        <v>110000</v>
      </c>
      <c r="G161" s="4">
        <v>158000</v>
      </c>
      <c r="H161" s="4">
        <f t="shared" si="2"/>
        <v>134000</v>
      </c>
      <c r="I161">
        <v>0</v>
      </c>
      <c r="J161">
        <v>0</v>
      </c>
      <c r="K161">
        <v>0</v>
      </c>
      <c r="L161">
        <v>0</v>
      </c>
      <c r="M161">
        <v>1</v>
      </c>
    </row>
    <row r="162" spans="1:13" x14ac:dyDescent="0.25">
      <c r="A162" t="s">
        <v>205</v>
      </c>
      <c r="B162" s="5">
        <v>3</v>
      </c>
      <c r="C162" t="s">
        <v>206</v>
      </c>
      <c r="D162" t="s">
        <v>164</v>
      </c>
      <c r="E162" t="s">
        <v>33</v>
      </c>
      <c r="F162" s="4">
        <v>106000</v>
      </c>
      <c r="G162" s="4">
        <v>152000</v>
      </c>
      <c r="H162" s="4">
        <f t="shared" si="2"/>
        <v>129000</v>
      </c>
      <c r="I162">
        <v>0</v>
      </c>
      <c r="J162">
        <v>0</v>
      </c>
      <c r="K162">
        <v>0</v>
      </c>
      <c r="L162">
        <v>0</v>
      </c>
      <c r="M162">
        <v>1</v>
      </c>
    </row>
    <row r="163" spans="1:13" x14ac:dyDescent="0.25">
      <c r="A163" t="s">
        <v>207</v>
      </c>
      <c r="B163" s="5">
        <v>4</v>
      </c>
      <c r="C163" t="s">
        <v>208</v>
      </c>
      <c r="D163" t="s">
        <v>164</v>
      </c>
      <c r="E163" t="s">
        <v>33</v>
      </c>
      <c r="F163" s="4">
        <v>102000</v>
      </c>
      <c r="G163" s="4">
        <v>143000</v>
      </c>
      <c r="H163" s="4">
        <f t="shared" si="2"/>
        <v>122500</v>
      </c>
      <c r="I163">
        <v>0</v>
      </c>
      <c r="J163">
        <v>0</v>
      </c>
      <c r="K163">
        <v>0</v>
      </c>
      <c r="L163">
        <v>0</v>
      </c>
      <c r="M163">
        <v>1</v>
      </c>
    </row>
    <row r="164" spans="1:13" x14ac:dyDescent="0.25">
      <c r="A164" t="s">
        <v>205</v>
      </c>
      <c r="B164" s="5">
        <v>3.5</v>
      </c>
      <c r="C164" t="s">
        <v>167</v>
      </c>
      <c r="D164" t="s">
        <v>164</v>
      </c>
      <c r="E164" t="s">
        <v>33</v>
      </c>
      <c r="F164" s="4">
        <v>101000</v>
      </c>
      <c r="G164" s="4">
        <v>187000</v>
      </c>
      <c r="H164" s="4">
        <f t="shared" si="2"/>
        <v>144000</v>
      </c>
      <c r="I164">
        <v>0</v>
      </c>
      <c r="J164">
        <v>0</v>
      </c>
      <c r="K164">
        <v>0</v>
      </c>
      <c r="L164">
        <v>0</v>
      </c>
      <c r="M164">
        <v>1</v>
      </c>
    </row>
    <row r="165" spans="1:13" x14ac:dyDescent="0.25">
      <c r="A165" t="s">
        <v>209</v>
      </c>
      <c r="B165" s="5">
        <v>4</v>
      </c>
      <c r="C165" t="s">
        <v>210</v>
      </c>
      <c r="D165" t="s">
        <v>164</v>
      </c>
      <c r="E165" t="s">
        <v>33</v>
      </c>
      <c r="F165" s="4">
        <v>64000</v>
      </c>
      <c r="G165" s="4">
        <v>98000</v>
      </c>
      <c r="H165" s="4">
        <f t="shared" si="2"/>
        <v>81000</v>
      </c>
      <c r="I165">
        <v>0</v>
      </c>
      <c r="J165">
        <v>0</v>
      </c>
      <c r="K165">
        <v>0</v>
      </c>
      <c r="L165">
        <v>0</v>
      </c>
      <c r="M165">
        <v>1</v>
      </c>
    </row>
    <row r="166" spans="1:13" x14ac:dyDescent="0.25">
      <c r="A166" t="s">
        <v>211</v>
      </c>
      <c r="B166" s="5">
        <v>3.5</v>
      </c>
      <c r="C166" t="s">
        <v>115</v>
      </c>
      <c r="D166" t="s">
        <v>212</v>
      </c>
      <c r="E166" t="s">
        <v>33</v>
      </c>
      <c r="F166" s="4">
        <v>201000</v>
      </c>
      <c r="G166" s="4">
        <v>395000</v>
      </c>
      <c r="H166" s="4">
        <f t="shared" si="2"/>
        <v>298000</v>
      </c>
      <c r="I166">
        <v>0</v>
      </c>
      <c r="J166">
        <v>0</v>
      </c>
      <c r="K166">
        <v>0</v>
      </c>
      <c r="L166">
        <v>0</v>
      </c>
      <c r="M166">
        <v>1</v>
      </c>
    </row>
    <row r="167" spans="1:13" x14ac:dyDescent="0.25">
      <c r="A167" t="s">
        <v>213</v>
      </c>
      <c r="B167" s="5">
        <v>3.5</v>
      </c>
      <c r="C167" t="s">
        <v>115</v>
      </c>
      <c r="D167" t="s">
        <v>212</v>
      </c>
      <c r="E167" t="s">
        <v>33</v>
      </c>
      <c r="F167" s="4">
        <v>176000</v>
      </c>
      <c r="G167" s="4">
        <v>329000</v>
      </c>
      <c r="H167" s="4">
        <f t="shared" si="2"/>
        <v>252500</v>
      </c>
      <c r="I167">
        <v>0</v>
      </c>
      <c r="J167">
        <v>0</v>
      </c>
      <c r="K167">
        <v>0</v>
      </c>
      <c r="L167">
        <v>0</v>
      </c>
      <c r="M167">
        <v>1</v>
      </c>
    </row>
    <row r="168" spans="1:13" x14ac:dyDescent="0.25">
      <c r="A168" t="s">
        <v>213</v>
      </c>
      <c r="B168" s="5">
        <v>3.5</v>
      </c>
      <c r="C168" t="s">
        <v>115</v>
      </c>
      <c r="D168" t="s">
        <v>212</v>
      </c>
      <c r="E168" t="s">
        <v>33</v>
      </c>
      <c r="F168" s="4">
        <v>176000</v>
      </c>
      <c r="G168" s="4">
        <v>329000</v>
      </c>
      <c r="H168" s="4">
        <f t="shared" si="2"/>
        <v>252500</v>
      </c>
      <c r="I168">
        <v>0</v>
      </c>
      <c r="J168">
        <v>0</v>
      </c>
      <c r="K168">
        <v>0</v>
      </c>
      <c r="L168">
        <v>0</v>
      </c>
      <c r="M168">
        <v>1</v>
      </c>
    </row>
    <row r="169" spans="1:13" x14ac:dyDescent="0.25">
      <c r="A169" t="s">
        <v>214</v>
      </c>
      <c r="B169" s="5">
        <v>3.5</v>
      </c>
      <c r="C169" t="s">
        <v>115</v>
      </c>
      <c r="D169" t="s">
        <v>212</v>
      </c>
      <c r="E169" t="s">
        <v>33</v>
      </c>
      <c r="F169" s="4">
        <v>153000</v>
      </c>
      <c r="G169" s="4">
        <v>332000</v>
      </c>
      <c r="H169" s="4">
        <f t="shared" si="2"/>
        <v>242500</v>
      </c>
      <c r="I169">
        <v>0</v>
      </c>
      <c r="J169">
        <v>0</v>
      </c>
      <c r="K169">
        <v>0</v>
      </c>
      <c r="L169">
        <v>0</v>
      </c>
      <c r="M169">
        <v>1</v>
      </c>
    </row>
    <row r="170" spans="1:13" x14ac:dyDescent="0.25">
      <c r="A170" t="s">
        <v>214</v>
      </c>
      <c r="B170" s="5">
        <v>3.5</v>
      </c>
      <c r="C170" t="s">
        <v>115</v>
      </c>
      <c r="D170" t="s">
        <v>212</v>
      </c>
      <c r="E170" t="s">
        <v>33</v>
      </c>
      <c r="F170" s="4">
        <v>153000</v>
      </c>
      <c r="G170" s="4">
        <v>332000</v>
      </c>
      <c r="H170" s="4">
        <f t="shared" si="2"/>
        <v>242500</v>
      </c>
      <c r="I170">
        <v>0</v>
      </c>
      <c r="J170">
        <v>0</v>
      </c>
      <c r="K170">
        <v>0</v>
      </c>
      <c r="L170">
        <v>0</v>
      </c>
      <c r="M170">
        <v>1</v>
      </c>
    </row>
    <row r="171" spans="1:13" x14ac:dyDescent="0.25">
      <c r="A171" t="s">
        <v>215</v>
      </c>
      <c r="B171" s="5">
        <v>4.4000000000000004</v>
      </c>
      <c r="C171" t="s">
        <v>216</v>
      </c>
      <c r="D171" t="s">
        <v>212</v>
      </c>
      <c r="E171" t="s">
        <v>33</v>
      </c>
      <c r="F171" s="4">
        <v>140000</v>
      </c>
      <c r="G171" s="4">
        <v>261000</v>
      </c>
      <c r="H171" s="4">
        <f t="shared" si="2"/>
        <v>200500</v>
      </c>
      <c r="I171">
        <v>0</v>
      </c>
      <c r="J171">
        <v>1</v>
      </c>
      <c r="K171">
        <v>0</v>
      </c>
      <c r="L171">
        <v>0</v>
      </c>
      <c r="M171">
        <v>1</v>
      </c>
    </row>
    <row r="172" spans="1:13" x14ac:dyDescent="0.25">
      <c r="A172" t="s">
        <v>30</v>
      </c>
      <c r="B172" s="5">
        <v>3.5</v>
      </c>
      <c r="C172" t="s">
        <v>217</v>
      </c>
      <c r="D172" t="s">
        <v>212</v>
      </c>
      <c r="E172" t="s">
        <v>33</v>
      </c>
      <c r="F172" s="4">
        <v>121000</v>
      </c>
      <c r="G172" s="4">
        <v>163000</v>
      </c>
      <c r="H172" s="4">
        <f t="shared" si="2"/>
        <v>142000</v>
      </c>
      <c r="I172">
        <v>0</v>
      </c>
      <c r="J172">
        <v>0</v>
      </c>
      <c r="K172">
        <v>0</v>
      </c>
      <c r="L172">
        <v>0</v>
      </c>
      <c r="M172">
        <v>1</v>
      </c>
    </row>
    <row r="173" spans="1:13" x14ac:dyDescent="0.25">
      <c r="A173" t="s">
        <v>207</v>
      </c>
      <c r="B173" s="5">
        <v>4</v>
      </c>
      <c r="C173" t="s">
        <v>208</v>
      </c>
      <c r="D173" t="s">
        <v>212</v>
      </c>
      <c r="E173" t="s">
        <v>33</v>
      </c>
      <c r="F173" s="4">
        <v>99000</v>
      </c>
      <c r="G173" s="4">
        <v>137000</v>
      </c>
      <c r="H173" s="4">
        <f t="shared" si="2"/>
        <v>118000</v>
      </c>
      <c r="I173">
        <v>0</v>
      </c>
      <c r="J173">
        <v>0</v>
      </c>
      <c r="K173">
        <v>0</v>
      </c>
      <c r="L173">
        <v>0</v>
      </c>
      <c r="M173">
        <v>1</v>
      </c>
    </row>
    <row r="174" spans="1:13" x14ac:dyDescent="0.25">
      <c r="A174" t="s">
        <v>218</v>
      </c>
      <c r="B174" s="5">
        <v>3.5</v>
      </c>
      <c r="C174" t="s">
        <v>219</v>
      </c>
      <c r="D174" t="s">
        <v>212</v>
      </c>
      <c r="E174" t="s">
        <v>33</v>
      </c>
      <c r="F174" s="4">
        <v>91000</v>
      </c>
      <c r="G174" s="4">
        <v>132000</v>
      </c>
      <c r="H174" s="4">
        <f t="shared" si="2"/>
        <v>111500</v>
      </c>
      <c r="I174">
        <v>0</v>
      </c>
      <c r="J174">
        <v>0</v>
      </c>
      <c r="K174">
        <v>0</v>
      </c>
      <c r="L174">
        <v>0</v>
      </c>
      <c r="M174">
        <v>1</v>
      </c>
    </row>
    <row r="175" spans="1:13" x14ac:dyDescent="0.25">
      <c r="A175" t="s">
        <v>220</v>
      </c>
      <c r="B175" s="5">
        <v>4.4000000000000004</v>
      </c>
      <c r="C175" t="s">
        <v>216</v>
      </c>
      <c r="D175" t="s">
        <v>212</v>
      </c>
      <c r="E175" t="s">
        <v>33</v>
      </c>
      <c r="F175" s="4">
        <v>83000</v>
      </c>
      <c r="G175" s="4">
        <v>153000</v>
      </c>
      <c r="H175" s="4">
        <f t="shared" si="2"/>
        <v>118000</v>
      </c>
      <c r="I175">
        <v>1</v>
      </c>
      <c r="J175">
        <v>1</v>
      </c>
      <c r="K175">
        <v>1</v>
      </c>
      <c r="L175">
        <v>1</v>
      </c>
      <c r="M175">
        <v>1</v>
      </c>
    </row>
    <row r="176" spans="1:13" x14ac:dyDescent="0.25">
      <c r="A176" t="s">
        <v>0</v>
      </c>
      <c r="C176" t="s">
        <v>221</v>
      </c>
      <c r="D176" t="s">
        <v>222</v>
      </c>
      <c r="E176" t="s">
        <v>33</v>
      </c>
      <c r="F176" s="4">
        <v>150000</v>
      </c>
      <c r="G176" s="4">
        <v>275000</v>
      </c>
      <c r="H176" s="4">
        <f t="shared" si="2"/>
        <v>212500</v>
      </c>
      <c r="I176">
        <v>0</v>
      </c>
      <c r="J176">
        <v>0</v>
      </c>
      <c r="K176">
        <v>0</v>
      </c>
      <c r="L176">
        <v>0</v>
      </c>
      <c r="M176">
        <v>1</v>
      </c>
    </row>
    <row r="177" spans="1:13" x14ac:dyDescent="0.25">
      <c r="A177" t="s">
        <v>223</v>
      </c>
      <c r="B177" s="5">
        <v>4.2</v>
      </c>
      <c r="C177" t="s">
        <v>224</v>
      </c>
      <c r="D177" t="s">
        <v>225</v>
      </c>
      <c r="E177" t="s">
        <v>33</v>
      </c>
      <c r="F177" s="4">
        <v>310000</v>
      </c>
      <c r="G177" s="4">
        <v>359000</v>
      </c>
      <c r="H177" s="4">
        <f t="shared" si="2"/>
        <v>334500</v>
      </c>
      <c r="I177">
        <v>0</v>
      </c>
      <c r="J177">
        <v>0</v>
      </c>
      <c r="K177">
        <v>0</v>
      </c>
      <c r="L177">
        <v>0</v>
      </c>
      <c r="M177">
        <v>1</v>
      </c>
    </row>
    <row r="178" spans="1:13" x14ac:dyDescent="0.25">
      <c r="A178" t="s">
        <v>226</v>
      </c>
      <c r="B178" s="5">
        <v>4.2</v>
      </c>
      <c r="C178" t="s">
        <v>224</v>
      </c>
      <c r="D178" t="s">
        <v>225</v>
      </c>
      <c r="E178" t="s">
        <v>33</v>
      </c>
      <c r="F178" s="4">
        <v>295000</v>
      </c>
      <c r="G178" s="4">
        <v>359000</v>
      </c>
      <c r="H178" s="4">
        <f t="shared" si="2"/>
        <v>327000</v>
      </c>
      <c r="I178">
        <v>0</v>
      </c>
      <c r="J178">
        <v>0</v>
      </c>
      <c r="K178">
        <v>0</v>
      </c>
      <c r="L178">
        <v>0</v>
      </c>
      <c r="M178">
        <v>1</v>
      </c>
    </row>
    <row r="179" spans="1:13" x14ac:dyDescent="0.25">
      <c r="A179" t="s">
        <v>84</v>
      </c>
      <c r="B179" s="5">
        <v>3.8</v>
      </c>
      <c r="C179" t="s">
        <v>227</v>
      </c>
      <c r="D179" t="s">
        <v>225</v>
      </c>
      <c r="E179" t="s">
        <v>33</v>
      </c>
      <c r="F179" s="4">
        <v>250000</v>
      </c>
      <c r="G179" s="4">
        <v>330000</v>
      </c>
      <c r="H179" s="4">
        <f t="shared" si="2"/>
        <v>290000</v>
      </c>
      <c r="I179">
        <v>0</v>
      </c>
      <c r="J179">
        <v>0</v>
      </c>
      <c r="K179">
        <v>0</v>
      </c>
      <c r="L179">
        <v>0</v>
      </c>
      <c r="M179">
        <v>1</v>
      </c>
    </row>
    <row r="180" spans="1:13" x14ac:dyDescent="0.25">
      <c r="A180" t="s">
        <v>228</v>
      </c>
      <c r="B180" s="5">
        <v>4.2</v>
      </c>
      <c r="C180" t="s">
        <v>224</v>
      </c>
      <c r="D180" t="s">
        <v>225</v>
      </c>
      <c r="E180" t="s">
        <v>33</v>
      </c>
      <c r="F180" s="4">
        <v>213000</v>
      </c>
      <c r="G180" s="4">
        <v>253000</v>
      </c>
      <c r="H180" s="4">
        <f t="shared" si="2"/>
        <v>233000</v>
      </c>
      <c r="I180">
        <v>0</v>
      </c>
      <c r="J180">
        <v>0</v>
      </c>
      <c r="K180">
        <v>0</v>
      </c>
      <c r="L180">
        <v>0</v>
      </c>
      <c r="M180">
        <v>1</v>
      </c>
    </row>
    <row r="181" spans="1:13" x14ac:dyDescent="0.25">
      <c r="A181" t="s">
        <v>229</v>
      </c>
      <c r="B181" s="5">
        <v>4</v>
      </c>
      <c r="C181" t="s">
        <v>230</v>
      </c>
      <c r="D181" t="s">
        <v>225</v>
      </c>
      <c r="E181" t="s">
        <v>33</v>
      </c>
      <c r="F181" s="4">
        <v>141000</v>
      </c>
      <c r="G181" s="4">
        <v>188000</v>
      </c>
      <c r="H181" s="4">
        <f t="shared" si="2"/>
        <v>164500</v>
      </c>
      <c r="I181">
        <v>0</v>
      </c>
      <c r="J181">
        <v>0</v>
      </c>
      <c r="K181">
        <v>0</v>
      </c>
      <c r="L181">
        <v>0</v>
      </c>
      <c r="M181">
        <v>1</v>
      </c>
    </row>
    <row r="182" spans="1:13" x14ac:dyDescent="0.25">
      <c r="A182" t="s">
        <v>231</v>
      </c>
      <c r="B182" s="5">
        <v>4.3</v>
      </c>
      <c r="C182" t="s">
        <v>232</v>
      </c>
      <c r="D182" t="s">
        <v>233</v>
      </c>
      <c r="E182" t="s">
        <v>33</v>
      </c>
      <c r="F182" s="4">
        <v>139000</v>
      </c>
      <c r="G182" s="4">
        <v>209000</v>
      </c>
      <c r="H182" s="4">
        <f t="shared" si="2"/>
        <v>174000</v>
      </c>
      <c r="I182">
        <v>0</v>
      </c>
      <c r="J182">
        <v>0</v>
      </c>
      <c r="K182">
        <v>0</v>
      </c>
      <c r="L182">
        <v>0</v>
      </c>
      <c r="M182">
        <v>1</v>
      </c>
    </row>
    <row r="183" spans="1:13" x14ac:dyDescent="0.25">
      <c r="A183" t="s">
        <v>30</v>
      </c>
      <c r="B183" s="5">
        <v>3.8</v>
      </c>
      <c r="C183" t="s">
        <v>234</v>
      </c>
      <c r="D183" t="s">
        <v>235</v>
      </c>
      <c r="E183" t="s">
        <v>33</v>
      </c>
      <c r="F183" s="4">
        <v>143000</v>
      </c>
      <c r="G183" s="4">
        <v>195000</v>
      </c>
      <c r="H183" s="4">
        <f t="shared" si="2"/>
        <v>169000</v>
      </c>
      <c r="I183">
        <v>0</v>
      </c>
      <c r="J183">
        <v>0</v>
      </c>
      <c r="K183">
        <v>0</v>
      </c>
      <c r="L183">
        <v>0</v>
      </c>
      <c r="M183">
        <v>1</v>
      </c>
    </row>
    <row r="184" spans="1:13" x14ac:dyDescent="0.25">
      <c r="A184" t="s">
        <v>236</v>
      </c>
      <c r="B184" s="5">
        <v>4.5999999999999996</v>
      </c>
      <c r="C184" t="s">
        <v>237</v>
      </c>
      <c r="D184" t="s">
        <v>238</v>
      </c>
      <c r="E184" t="s">
        <v>33</v>
      </c>
      <c r="F184" s="4">
        <v>160000</v>
      </c>
      <c r="G184" s="4">
        <v>247000</v>
      </c>
      <c r="H184" s="4">
        <f t="shared" si="2"/>
        <v>203500</v>
      </c>
      <c r="I184">
        <v>0</v>
      </c>
      <c r="J184">
        <v>0</v>
      </c>
      <c r="K184">
        <v>0</v>
      </c>
      <c r="L184">
        <v>0</v>
      </c>
      <c r="M184">
        <v>1</v>
      </c>
    </row>
    <row r="185" spans="1:13" x14ac:dyDescent="0.25">
      <c r="A185" t="s">
        <v>239</v>
      </c>
      <c r="B185" s="5">
        <v>4.4000000000000004</v>
      </c>
      <c r="C185" t="s">
        <v>240</v>
      </c>
      <c r="D185" t="s">
        <v>238</v>
      </c>
      <c r="E185" t="s">
        <v>33</v>
      </c>
      <c r="F185" s="4">
        <v>143000</v>
      </c>
      <c r="G185" s="4">
        <v>251000</v>
      </c>
      <c r="H185" s="4">
        <f t="shared" si="2"/>
        <v>197000</v>
      </c>
      <c r="I185">
        <v>0</v>
      </c>
      <c r="J185">
        <v>0</v>
      </c>
      <c r="K185">
        <v>0</v>
      </c>
      <c r="L185">
        <v>0</v>
      </c>
      <c r="M185">
        <v>1</v>
      </c>
    </row>
    <row r="186" spans="1:13" x14ac:dyDescent="0.25">
      <c r="A186" t="s">
        <v>0</v>
      </c>
      <c r="B186" s="5">
        <v>4.5</v>
      </c>
      <c r="C186" t="s">
        <v>241</v>
      </c>
      <c r="D186" t="s">
        <v>238</v>
      </c>
      <c r="E186" t="s">
        <v>33</v>
      </c>
      <c r="F186" s="4">
        <v>111000</v>
      </c>
      <c r="G186" s="4">
        <v>160000</v>
      </c>
      <c r="H186" s="4">
        <f t="shared" si="2"/>
        <v>135500</v>
      </c>
      <c r="I186">
        <v>0</v>
      </c>
      <c r="J186">
        <v>1</v>
      </c>
      <c r="K186">
        <v>1</v>
      </c>
      <c r="L186">
        <v>0</v>
      </c>
      <c r="M186">
        <v>1</v>
      </c>
    </row>
    <row r="187" spans="1:13" x14ac:dyDescent="0.25">
      <c r="A187" t="s">
        <v>242</v>
      </c>
      <c r="B187" s="5">
        <v>4.0999999999999996</v>
      </c>
      <c r="C187" t="s">
        <v>29</v>
      </c>
      <c r="D187" t="s">
        <v>238</v>
      </c>
      <c r="E187" t="s">
        <v>33</v>
      </c>
      <c r="F187" s="4">
        <v>106000</v>
      </c>
      <c r="G187" s="4">
        <v>159000</v>
      </c>
      <c r="H187" s="4">
        <f t="shared" si="2"/>
        <v>132500</v>
      </c>
      <c r="I187">
        <v>0</v>
      </c>
      <c r="J187">
        <v>0</v>
      </c>
      <c r="K187">
        <v>0</v>
      </c>
      <c r="L187">
        <v>0</v>
      </c>
      <c r="M187">
        <v>1</v>
      </c>
    </row>
    <row r="188" spans="1:13" x14ac:dyDescent="0.25">
      <c r="A188" t="s">
        <v>242</v>
      </c>
      <c r="B188" s="5">
        <v>4.0999999999999996</v>
      </c>
      <c r="C188" t="s">
        <v>29</v>
      </c>
      <c r="D188" t="s">
        <v>238</v>
      </c>
      <c r="E188" t="s">
        <v>33</v>
      </c>
      <c r="F188" s="4">
        <v>106000</v>
      </c>
      <c r="G188" s="4">
        <v>159000</v>
      </c>
      <c r="H188" s="4">
        <f t="shared" si="2"/>
        <v>132500</v>
      </c>
      <c r="I188">
        <v>0</v>
      </c>
      <c r="J188">
        <v>0</v>
      </c>
      <c r="K188">
        <v>0</v>
      </c>
      <c r="L188">
        <v>0</v>
      </c>
      <c r="M188">
        <v>1</v>
      </c>
    </row>
    <row r="189" spans="1:13" x14ac:dyDescent="0.25">
      <c r="A189" t="s">
        <v>242</v>
      </c>
      <c r="B189" s="5">
        <v>4.0999999999999996</v>
      </c>
      <c r="C189" t="s">
        <v>29</v>
      </c>
      <c r="D189" t="s">
        <v>238</v>
      </c>
      <c r="E189" t="s">
        <v>33</v>
      </c>
      <c r="F189" s="4">
        <v>106000</v>
      </c>
      <c r="G189" s="4">
        <v>159000</v>
      </c>
      <c r="H189" s="4">
        <f t="shared" si="2"/>
        <v>132500</v>
      </c>
      <c r="I189">
        <v>0</v>
      </c>
      <c r="J189">
        <v>0</v>
      </c>
      <c r="K189">
        <v>0</v>
      </c>
      <c r="L189">
        <v>0</v>
      </c>
      <c r="M189">
        <v>1</v>
      </c>
    </row>
    <row r="190" spans="1:13" x14ac:dyDescent="0.25">
      <c r="A190" t="s">
        <v>242</v>
      </c>
      <c r="B190" s="5">
        <v>4.0999999999999996</v>
      </c>
      <c r="C190" t="s">
        <v>29</v>
      </c>
      <c r="D190" t="s">
        <v>238</v>
      </c>
      <c r="E190" t="s">
        <v>33</v>
      </c>
      <c r="F190" s="4">
        <v>106000</v>
      </c>
      <c r="G190" s="4">
        <v>159000</v>
      </c>
      <c r="H190" s="4">
        <f t="shared" si="2"/>
        <v>132500</v>
      </c>
      <c r="I190">
        <v>0</v>
      </c>
      <c r="J190">
        <v>0</v>
      </c>
      <c r="K190">
        <v>0</v>
      </c>
      <c r="L190">
        <v>0</v>
      </c>
      <c r="M190">
        <v>1</v>
      </c>
    </row>
    <row r="191" spans="1:13" x14ac:dyDescent="0.25">
      <c r="A191" t="s">
        <v>242</v>
      </c>
      <c r="B191" s="5">
        <v>4.0999999999999996</v>
      </c>
      <c r="C191" t="s">
        <v>29</v>
      </c>
      <c r="D191" t="s">
        <v>238</v>
      </c>
      <c r="E191" t="s">
        <v>33</v>
      </c>
      <c r="F191" s="4">
        <v>106000</v>
      </c>
      <c r="G191" s="4">
        <v>159000</v>
      </c>
      <c r="H191" s="4">
        <f t="shared" si="2"/>
        <v>132500</v>
      </c>
      <c r="I191">
        <v>0</v>
      </c>
      <c r="J191">
        <v>0</v>
      </c>
      <c r="K191">
        <v>0</v>
      </c>
      <c r="L191">
        <v>0</v>
      </c>
      <c r="M191">
        <v>1</v>
      </c>
    </row>
    <row r="192" spans="1:13" x14ac:dyDescent="0.25">
      <c r="A192" t="s">
        <v>242</v>
      </c>
      <c r="B192" s="5">
        <v>4.0999999999999996</v>
      </c>
      <c r="C192" t="s">
        <v>29</v>
      </c>
      <c r="D192" t="s">
        <v>238</v>
      </c>
      <c r="E192" t="s">
        <v>33</v>
      </c>
      <c r="F192" s="4">
        <v>106000</v>
      </c>
      <c r="G192" s="4">
        <v>159000</v>
      </c>
      <c r="H192" s="4">
        <f t="shared" si="2"/>
        <v>132500</v>
      </c>
      <c r="I192">
        <v>0</v>
      </c>
      <c r="J192">
        <v>0</v>
      </c>
      <c r="K192">
        <v>0</v>
      </c>
      <c r="L192">
        <v>0</v>
      </c>
      <c r="M192">
        <v>1</v>
      </c>
    </row>
    <row r="193" spans="1:13" x14ac:dyDescent="0.25">
      <c r="A193" t="s">
        <v>242</v>
      </c>
      <c r="B193" s="5">
        <v>4.0999999999999996</v>
      </c>
      <c r="C193" t="s">
        <v>29</v>
      </c>
      <c r="D193" t="s">
        <v>238</v>
      </c>
      <c r="E193" t="s">
        <v>33</v>
      </c>
      <c r="F193" s="4">
        <v>106000</v>
      </c>
      <c r="G193" s="4">
        <v>159000</v>
      </c>
      <c r="H193" s="4">
        <f t="shared" si="2"/>
        <v>132500</v>
      </c>
      <c r="I193">
        <v>0</v>
      </c>
      <c r="J193">
        <v>0</v>
      </c>
      <c r="K193">
        <v>0</v>
      </c>
      <c r="L193">
        <v>0</v>
      </c>
      <c r="M193">
        <v>1</v>
      </c>
    </row>
    <row r="194" spans="1:13" x14ac:dyDescent="0.25">
      <c r="A194" t="s">
        <v>242</v>
      </c>
      <c r="B194" s="5">
        <v>4.0999999999999996</v>
      </c>
      <c r="C194" t="s">
        <v>29</v>
      </c>
      <c r="D194" t="s">
        <v>238</v>
      </c>
      <c r="E194" t="s">
        <v>33</v>
      </c>
      <c r="F194" s="4">
        <v>106000</v>
      </c>
      <c r="G194" s="4">
        <v>159000</v>
      </c>
      <c r="H194" s="4">
        <f t="shared" si="2"/>
        <v>132500</v>
      </c>
      <c r="I194">
        <v>0</v>
      </c>
      <c r="J194">
        <v>0</v>
      </c>
      <c r="K194">
        <v>0</v>
      </c>
      <c r="L194">
        <v>0</v>
      </c>
      <c r="M194">
        <v>1</v>
      </c>
    </row>
    <row r="195" spans="1:13" x14ac:dyDescent="0.25">
      <c r="A195" t="s">
        <v>242</v>
      </c>
      <c r="B195" s="5">
        <v>4.0999999999999996</v>
      </c>
      <c r="C195" t="s">
        <v>29</v>
      </c>
      <c r="D195" t="s">
        <v>238</v>
      </c>
      <c r="E195" t="s">
        <v>33</v>
      </c>
      <c r="F195" s="4">
        <v>106000</v>
      </c>
      <c r="G195" s="4">
        <v>159000</v>
      </c>
      <c r="H195" s="4">
        <f t="shared" ref="H195:H258" si="3">(F195+G195)/2</f>
        <v>132500</v>
      </c>
      <c r="I195">
        <v>0</v>
      </c>
      <c r="J195">
        <v>0</v>
      </c>
      <c r="K195">
        <v>0</v>
      </c>
      <c r="L195">
        <v>0</v>
      </c>
      <c r="M195">
        <v>1</v>
      </c>
    </row>
    <row r="196" spans="1:13" x14ac:dyDescent="0.25">
      <c r="A196" t="s">
        <v>242</v>
      </c>
      <c r="B196" s="5">
        <v>4.0999999999999996</v>
      </c>
      <c r="C196" t="s">
        <v>29</v>
      </c>
      <c r="D196" t="s">
        <v>238</v>
      </c>
      <c r="E196" t="s">
        <v>33</v>
      </c>
      <c r="F196" s="4">
        <v>106000</v>
      </c>
      <c r="G196" s="4">
        <v>159000</v>
      </c>
      <c r="H196" s="4">
        <f t="shared" si="3"/>
        <v>132500</v>
      </c>
      <c r="I196">
        <v>0</v>
      </c>
      <c r="J196">
        <v>0</v>
      </c>
      <c r="K196">
        <v>0</v>
      </c>
      <c r="L196">
        <v>0</v>
      </c>
      <c r="M196">
        <v>1</v>
      </c>
    </row>
    <row r="197" spans="1:13" x14ac:dyDescent="0.25">
      <c r="A197" t="s">
        <v>242</v>
      </c>
      <c r="B197" s="5">
        <v>4.0999999999999996</v>
      </c>
      <c r="C197" t="s">
        <v>29</v>
      </c>
      <c r="D197" t="s">
        <v>238</v>
      </c>
      <c r="E197" t="s">
        <v>33</v>
      </c>
      <c r="F197" s="4">
        <v>106000</v>
      </c>
      <c r="G197" s="4">
        <v>159000</v>
      </c>
      <c r="H197" s="4">
        <f t="shared" si="3"/>
        <v>132500</v>
      </c>
      <c r="I197">
        <v>0</v>
      </c>
      <c r="J197">
        <v>0</v>
      </c>
      <c r="K197">
        <v>0</v>
      </c>
      <c r="L197">
        <v>0</v>
      </c>
      <c r="M197">
        <v>1</v>
      </c>
    </row>
    <row r="198" spans="1:13" x14ac:dyDescent="0.25">
      <c r="A198" t="s">
        <v>242</v>
      </c>
      <c r="B198" s="5">
        <v>4.0999999999999996</v>
      </c>
      <c r="C198" t="s">
        <v>29</v>
      </c>
      <c r="D198" t="s">
        <v>238</v>
      </c>
      <c r="E198" t="s">
        <v>33</v>
      </c>
      <c r="F198" s="4">
        <v>106000</v>
      </c>
      <c r="G198" s="4">
        <v>159000</v>
      </c>
      <c r="H198" s="4">
        <f t="shared" si="3"/>
        <v>132500</v>
      </c>
      <c r="I198">
        <v>0</v>
      </c>
      <c r="J198">
        <v>0</v>
      </c>
      <c r="K198">
        <v>0</v>
      </c>
      <c r="L198">
        <v>0</v>
      </c>
      <c r="M198">
        <v>1</v>
      </c>
    </row>
    <row r="199" spans="1:13" x14ac:dyDescent="0.25">
      <c r="A199" t="s">
        <v>242</v>
      </c>
      <c r="B199" s="5">
        <v>4.0999999999999996</v>
      </c>
      <c r="C199" t="s">
        <v>29</v>
      </c>
      <c r="D199" t="s">
        <v>238</v>
      </c>
      <c r="E199" t="s">
        <v>33</v>
      </c>
      <c r="F199" s="4">
        <v>106000</v>
      </c>
      <c r="G199" s="4">
        <v>159000</v>
      </c>
      <c r="H199" s="4">
        <f t="shared" si="3"/>
        <v>132500</v>
      </c>
      <c r="I199">
        <v>0</v>
      </c>
      <c r="J199">
        <v>0</v>
      </c>
      <c r="K199">
        <v>0</v>
      </c>
      <c r="L199">
        <v>0</v>
      </c>
      <c r="M199">
        <v>1</v>
      </c>
    </row>
    <row r="200" spans="1:13" x14ac:dyDescent="0.25">
      <c r="A200" t="s">
        <v>242</v>
      </c>
      <c r="B200" s="5">
        <v>4.0999999999999996</v>
      </c>
      <c r="C200" t="s">
        <v>29</v>
      </c>
      <c r="D200" t="s">
        <v>238</v>
      </c>
      <c r="E200" t="s">
        <v>33</v>
      </c>
      <c r="F200" s="4">
        <v>106000</v>
      </c>
      <c r="G200" s="4">
        <v>159000</v>
      </c>
      <c r="H200" s="4">
        <f t="shared" si="3"/>
        <v>132500</v>
      </c>
      <c r="I200">
        <v>0</v>
      </c>
      <c r="J200">
        <v>0</v>
      </c>
      <c r="K200">
        <v>0</v>
      </c>
      <c r="L200">
        <v>0</v>
      </c>
      <c r="M200">
        <v>1</v>
      </c>
    </row>
    <row r="201" spans="1:13" x14ac:dyDescent="0.25">
      <c r="A201" t="s">
        <v>242</v>
      </c>
      <c r="B201" s="5">
        <v>4.0999999999999996</v>
      </c>
      <c r="C201" t="s">
        <v>29</v>
      </c>
      <c r="D201" t="s">
        <v>238</v>
      </c>
      <c r="E201" t="s">
        <v>33</v>
      </c>
      <c r="F201" s="4">
        <v>106000</v>
      </c>
      <c r="G201" s="4">
        <v>159000</v>
      </c>
      <c r="H201" s="4">
        <f t="shared" si="3"/>
        <v>132500</v>
      </c>
      <c r="I201">
        <v>0</v>
      </c>
      <c r="J201">
        <v>0</v>
      </c>
      <c r="K201">
        <v>0</v>
      </c>
      <c r="L201">
        <v>0</v>
      </c>
      <c r="M201">
        <v>1</v>
      </c>
    </row>
    <row r="202" spans="1:13" x14ac:dyDescent="0.25">
      <c r="A202" t="s">
        <v>242</v>
      </c>
      <c r="B202" s="5">
        <v>4.0999999999999996</v>
      </c>
      <c r="C202" t="s">
        <v>29</v>
      </c>
      <c r="D202" t="s">
        <v>238</v>
      </c>
      <c r="E202" t="s">
        <v>33</v>
      </c>
      <c r="F202" s="4">
        <v>106000</v>
      </c>
      <c r="G202" s="4">
        <v>159000</v>
      </c>
      <c r="H202" s="4">
        <f t="shared" si="3"/>
        <v>132500</v>
      </c>
      <c r="I202">
        <v>0</v>
      </c>
      <c r="J202">
        <v>0</v>
      </c>
      <c r="K202">
        <v>0</v>
      </c>
      <c r="L202">
        <v>0</v>
      </c>
      <c r="M202">
        <v>1</v>
      </c>
    </row>
    <row r="203" spans="1:13" x14ac:dyDescent="0.25">
      <c r="A203" t="s">
        <v>242</v>
      </c>
      <c r="B203" s="5">
        <v>4.0999999999999996</v>
      </c>
      <c r="C203" t="s">
        <v>29</v>
      </c>
      <c r="D203" t="s">
        <v>238</v>
      </c>
      <c r="E203" t="s">
        <v>33</v>
      </c>
      <c r="F203" s="4">
        <v>106000</v>
      </c>
      <c r="G203" s="4">
        <v>159000</v>
      </c>
      <c r="H203" s="4">
        <f t="shared" si="3"/>
        <v>132500</v>
      </c>
      <c r="I203">
        <v>0</v>
      </c>
      <c r="J203">
        <v>0</v>
      </c>
      <c r="K203">
        <v>0</v>
      </c>
      <c r="L203">
        <v>0</v>
      </c>
      <c r="M203">
        <v>1</v>
      </c>
    </row>
    <row r="204" spans="1:13" x14ac:dyDescent="0.25">
      <c r="A204" t="s">
        <v>242</v>
      </c>
      <c r="B204" s="5">
        <v>4.0999999999999996</v>
      </c>
      <c r="C204" t="s">
        <v>29</v>
      </c>
      <c r="D204" t="s">
        <v>238</v>
      </c>
      <c r="E204" t="s">
        <v>33</v>
      </c>
      <c r="F204" s="4">
        <v>106000</v>
      </c>
      <c r="G204" s="4">
        <v>159000</v>
      </c>
      <c r="H204" s="4">
        <f t="shared" si="3"/>
        <v>132500</v>
      </c>
      <c r="I204">
        <v>0</v>
      </c>
      <c r="J204">
        <v>0</v>
      </c>
      <c r="K204">
        <v>0</v>
      </c>
      <c r="L204">
        <v>0</v>
      </c>
      <c r="M204">
        <v>1</v>
      </c>
    </row>
    <row r="205" spans="1:13" x14ac:dyDescent="0.25">
      <c r="A205" t="s">
        <v>242</v>
      </c>
      <c r="B205" s="5">
        <v>4.0999999999999996</v>
      </c>
      <c r="C205" t="s">
        <v>29</v>
      </c>
      <c r="D205" t="s">
        <v>238</v>
      </c>
      <c r="E205" t="s">
        <v>33</v>
      </c>
      <c r="F205" s="4">
        <v>106000</v>
      </c>
      <c r="G205" s="4">
        <v>159000</v>
      </c>
      <c r="H205" s="4">
        <f t="shared" si="3"/>
        <v>132500</v>
      </c>
      <c r="I205">
        <v>0</v>
      </c>
      <c r="J205">
        <v>0</v>
      </c>
      <c r="K205">
        <v>0</v>
      </c>
      <c r="L205">
        <v>0</v>
      </c>
      <c r="M205">
        <v>1</v>
      </c>
    </row>
    <row r="206" spans="1:13" x14ac:dyDescent="0.25">
      <c r="A206" t="s">
        <v>242</v>
      </c>
      <c r="B206" s="5">
        <v>4.0999999999999996</v>
      </c>
      <c r="C206" t="s">
        <v>29</v>
      </c>
      <c r="D206" t="s">
        <v>238</v>
      </c>
      <c r="E206" t="s">
        <v>33</v>
      </c>
      <c r="F206" s="4">
        <v>106000</v>
      </c>
      <c r="G206" s="4">
        <v>159000</v>
      </c>
      <c r="H206" s="4">
        <f t="shared" si="3"/>
        <v>132500</v>
      </c>
      <c r="I206">
        <v>0</v>
      </c>
      <c r="J206">
        <v>0</v>
      </c>
      <c r="K206">
        <v>0</v>
      </c>
      <c r="L206">
        <v>0</v>
      </c>
      <c r="M206">
        <v>1</v>
      </c>
    </row>
    <row r="207" spans="1:13" x14ac:dyDescent="0.25">
      <c r="A207" t="s">
        <v>242</v>
      </c>
      <c r="B207" s="5">
        <v>4.0999999999999996</v>
      </c>
      <c r="C207" t="s">
        <v>29</v>
      </c>
      <c r="D207" t="s">
        <v>238</v>
      </c>
      <c r="E207" t="s">
        <v>33</v>
      </c>
      <c r="F207" s="4">
        <v>106000</v>
      </c>
      <c r="G207" s="4">
        <v>159000</v>
      </c>
      <c r="H207" s="4">
        <f t="shared" si="3"/>
        <v>132500</v>
      </c>
      <c r="I207">
        <v>0</v>
      </c>
      <c r="J207">
        <v>0</v>
      </c>
      <c r="K207">
        <v>0</v>
      </c>
      <c r="L207">
        <v>0</v>
      </c>
      <c r="M207">
        <v>1</v>
      </c>
    </row>
    <row r="208" spans="1:13" x14ac:dyDescent="0.25">
      <c r="A208" t="s">
        <v>242</v>
      </c>
      <c r="B208" s="5">
        <v>4.0999999999999996</v>
      </c>
      <c r="C208" t="s">
        <v>29</v>
      </c>
      <c r="D208" t="s">
        <v>238</v>
      </c>
      <c r="E208" t="s">
        <v>33</v>
      </c>
      <c r="F208" s="4">
        <v>106000</v>
      </c>
      <c r="G208" s="4">
        <v>159000</v>
      </c>
      <c r="H208" s="4">
        <f t="shared" si="3"/>
        <v>132500</v>
      </c>
      <c r="I208">
        <v>0</v>
      </c>
      <c r="J208">
        <v>0</v>
      </c>
      <c r="K208">
        <v>0</v>
      </c>
      <c r="L208">
        <v>0</v>
      </c>
      <c r="M208">
        <v>1</v>
      </c>
    </row>
    <row r="209" spans="1:13" x14ac:dyDescent="0.25">
      <c r="A209" t="s">
        <v>242</v>
      </c>
      <c r="B209" s="5">
        <v>4.0999999999999996</v>
      </c>
      <c r="C209" t="s">
        <v>29</v>
      </c>
      <c r="D209" t="s">
        <v>238</v>
      </c>
      <c r="E209" t="s">
        <v>33</v>
      </c>
      <c r="F209" s="4">
        <v>106000</v>
      </c>
      <c r="G209" s="4">
        <v>159000</v>
      </c>
      <c r="H209" s="4">
        <f t="shared" si="3"/>
        <v>132500</v>
      </c>
      <c r="I209">
        <v>0</v>
      </c>
      <c r="J209">
        <v>0</v>
      </c>
      <c r="K209">
        <v>0</v>
      </c>
      <c r="L209">
        <v>0</v>
      </c>
      <c r="M209">
        <v>1</v>
      </c>
    </row>
    <row r="210" spans="1:13" x14ac:dyDescent="0.25">
      <c r="A210" t="s">
        <v>243</v>
      </c>
      <c r="B210" s="5">
        <v>4.0999999999999996</v>
      </c>
      <c r="C210" t="s">
        <v>29</v>
      </c>
      <c r="D210" t="s">
        <v>238</v>
      </c>
      <c r="E210" t="s">
        <v>33</v>
      </c>
      <c r="F210" s="4">
        <v>88000</v>
      </c>
      <c r="G210" s="4">
        <v>133000</v>
      </c>
      <c r="H210" s="4">
        <f t="shared" si="3"/>
        <v>110500</v>
      </c>
      <c r="I210">
        <v>0</v>
      </c>
      <c r="J210">
        <v>0</v>
      </c>
      <c r="K210">
        <v>0</v>
      </c>
      <c r="L210">
        <v>0</v>
      </c>
      <c r="M210">
        <v>1</v>
      </c>
    </row>
    <row r="211" spans="1:13" x14ac:dyDescent="0.25">
      <c r="A211" t="s">
        <v>0</v>
      </c>
      <c r="B211" s="5">
        <v>4.3</v>
      </c>
      <c r="C211" t="s">
        <v>244</v>
      </c>
      <c r="D211" t="s">
        <v>245</v>
      </c>
      <c r="E211" t="s">
        <v>33</v>
      </c>
      <c r="F211" s="4">
        <v>123000</v>
      </c>
      <c r="G211" s="4">
        <v>183000</v>
      </c>
      <c r="H211" s="4">
        <f t="shared" si="3"/>
        <v>153000</v>
      </c>
      <c r="I211">
        <v>0</v>
      </c>
      <c r="J211">
        <v>0</v>
      </c>
      <c r="K211">
        <v>0</v>
      </c>
      <c r="L211">
        <v>0</v>
      </c>
      <c r="M211">
        <v>1</v>
      </c>
    </row>
    <row r="212" spans="1:13" x14ac:dyDescent="0.25">
      <c r="A212" t="s">
        <v>26</v>
      </c>
      <c r="B212" s="5">
        <v>3.9</v>
      </c>
      <c r="C212" t="s">
        <v>246</v>
      </c>
      <c r="D212" t="s">
        <v>247</v>
      </c>
      <c r="E212" t="s">
        <v>33</v>
      </c>
      <c r="F212" s="4">
        <v>136000</v>
      </c>
      <c r="G212" s="4">
        <v>182000</v>
      </c>
      <c r="H212" s="4">
        <f t="shared" si="3"/>
        <v>159000</v>
      </c>
      <c r="I212">
        <v>0</v>
      </c>
      <c r="J212">
        <v>0</v>
      </c>
      <c r="K212">
        <v>0</v>
      </c>
      <c r="L212">
        <v>0</v>
      </c>
      <c r="M212">
        <v>1</v>
      </c>
    </row>
    <row r="213" spans="1:13" x14ac:dyDescent="0.25">
      <c r="A213" t="s">
        <v>248</v>
      </c>
      <c r="B213" s="5">
        <v>3.7</v>
      </c>
      <c r="C213" t="s">
        <v>155</v>
      </c>
      <c r="D213" t="s">
        <v>247</v>
      </c>
      <c r="E213" t="s">
        <v>33</v>
      </c>
      <c r="F213" s="4">
        <v>127000</v>
      </c>
      <c r="G213" s="4">
        <v>127000</v>
      </c>
      <c r="H213" s="4">
        <f t="shared" si="3"/>
        <v>127000</v>
      </c>
      <c r="I213">
        <v>1</v>
      </c>
      <c r="J213">
        <v>1</v>
      </c>
      <c r="K213">
        <v>0</v>
      </c>
      <c r="L213">
        <v>0</v>
      </c>
      <c r="M213">
        <v>1</v>
      </c>
    </row>
    <row r="214" spans="1:13" x14ac:dyDescent="0.25">
      <c r="A214" t="s">
        <v>248</v>
      </c>
      <c r="B214" s="5">
        <v>3.7</v>
      </c>
      <c r="C214" t="s">
        <v>155</v>
      </c>
      <c r="D214" t="s">
        <v>247</v>
      </c>
      <c r="E214" t="s">
        <v>33</v>
      </c>
      <c r="F214" s="4">
        <v>127000</v>
      </c>
      <c r="G214" s="4">
        <v>127000</v>
      </c>
      <c r="H214" s="4">
        <f t="shared" si="3"/>
        <v>127000</v>
      </c>
      <c r="I214">
        <v>1</v>
      </c>
      <c r="J214">
        <v>1</v>
      </c>
      <c r="K214">
        <v>0</v>
      </c>
      <c r="L214">
        <v>0</v>
      </c>
      <c r="M214">
        <v>1</v>
      </c>
    </row>
    <row r="215" spans="1:13" x14ac:dyDescent="0.25">
      <c r="A215" t="s">
        <v>249</v>
      </c>
      <c r="B215" s="5">
        <v>4.0999999999999996</v>
      </c>
      <c r="C215" t="s">
        <v>250</v>
      </c>
      <c r="D215" t="s">
        <v>251</v>
      </c>
      <c r="E215" t="s">
        <v>33</v>
      </c>
      <c r="F215" s="4">
        <v>169000</v>
      </c>
      <c r="G215" s="4">
        <v>203000</v>
      </c>
      <c r="H215" s="4">
        <f t="shared" si="3"/>
        <v>186000</v>
      </c>
      <c r="I215">
        <v>0</v>
      </c>
      <c r="J215">
        <v>0</v>
      </c>
      <c r="K215">
        <v>0</v>
      </c>
      <c r="L215">
        <v>0</v>
      </c>
      <c r="M215">
        <v>1</v>
      </c>
    </row>
    <row r="216" spans="1:13" x14ac:dyDescent="0.25">
      <c r="A216" t="s">
        <v>30</v>
      </c>
      <c r="B216" s="5">
        <v>4.0999999999999996</v>
      </c>
      <c r="C216" t="s">
        <v>250</v>
      </c>
      <c r="D216" t="s">
        <v>251</v>
      </c>
      <c r="E216" t="s">
        <v>33</v>
      </c>
      <c r="F216" s="4">
        <v>169000</v>
      </c>
      <c r="G216" s="4">
        <v>172000</v>
      </c>
      <c r="H216" s="4">
        <f t="shared" si="3"/>
        <v>170500</v>
      </c>
      <c r="I216">
        <v>0</v>
      </c>
      <c r="J216">
        <v>0</v>
      </c>
      <c r="K216">
        <v>0</v>
      </c>
      <c r="L216">
        <v>0</v>
      </c>
      <c r="M216">
        <v>1</v>
      </c>
    </row>
    <row r="217" spans="1:13" x14ac:dyDescent="0.25">
      <c r="A217" t="s">
        <v>252</v>
      </c>
      <c r="B217" s="5">
        <v>4.0999999999999996</v>
      </c>
      <c r="C217" t="s">
        <v>250</v>
      </c>
      <c r="D217" t="s">
        <v>251</v>
      </c>
      <c r="E217" t="s">
        <v>33</v>
      </c>
      <c r="F217" s="4">
        <v>133000</v>
      </c>
      <c r="G217" s="4">
        <v>162000</v>
      </c>
      <c r="H217" s="4">
        <f t="shared" si="3"/>
        <v>147500</v>
      </c>
      <c r="I217">
        <v>0</v>
      </c>
      <c r="J217">
        <v>0</v>
      </c>
      <c r="K217">
        <v>0</v>
      </c>
      <c r="L217">
        <v>0</v>
      </c>
      <c r="M217">
        <v>1</v>
      </c>
    </row>
    <row r="218" spans="1:13" x14ac:dyDescent="0.25">
      <c r="A218" t="s">
        <v>252</v>
      </c>
      <c r="B218" s="5">
        <v>4.0999999999999996</v>
      </c>
      <c r="C218" t="s">
        <v>250</v>
      </c>
      <c r="D218" t="s">
        <v>251</v>
      </c>
      <c r="E218" t="s">
        <v>33</v>
      </c>
      <c r="F218" s="4">
        <v>133000</v>
      </c>
      <c r="G218" s="4">
        <v>162000</v>
      </c>
      <c r="H218" s="4">
        <f t="shared" si="3"/>
        <v>147500</v>
      </c>
      <c r="I218">
        <v>0</v>
      </c>
      <c r="J218">
        <v>0</v>
      </c>
      <c r="K218">
        <v>0</v>
      </c>
      <c r="L218">
        <v>0</v>
      </c>
      <c r="M218">
        <v>1</v>
      </c>
    </row>
    <row r="219" spans="1:13" x14ac:dyDescent="0.25">
      <c r="A219" t="s">
        <v>0</v>
      </c>
      <c r="B219" s="5">
        <v>3</v>
      </c>
      <c r="C219" t="s">
        <v>253</v>
      </c>
      <c r="D219" t="s">
        <v>251</v>
      </c>
      <c r="E219" t="s">
        <v>33</v>
      </c>
      <c r="F219" s="4">
        <v>110000</v>
      </c>
      <c r="G219" s="4">
        <v>159000</v>
      </c>
      <c r="H219" s="4">
        <f t="shared" si="3"/>
        <v>134500</v>
      </c>
      <c r="I219">
        <v>0</v>
      </c>
      <c r="J219">
        <v>0</v>
      </c>
      <c r="K219">
        <v>0</v>
      </c>
      <c r="L219">
        <v>0</v>
      </c>
      <c r="M219">
        <v>1</v>
      </c>
    </row>
    <row r="220" spans="1:13" x14ac:dyDescent="0.25">
      <c r="A220" t="s">
        <v>254</v>
      </c>
      <c r="B220" s="5">
        <v>3.1</v>
      </c>
      <c r="C220" t="s">
        <v>255</v>
      </c>
      <c r="D220" t="s">
        <v>251</v>
      </c>
      <c r="E220" t="s">
        <v>33</v>
      </c>
      <c r="F220" s="4">
        <v>95000</v>
      </c>
      <c r="G220" s="4">
        <v>220000</v>
      </c>
      <c r="H220" s="4">
        <f t="shared" si="3"/>
        <v>157500</v>
      </c>
      <c r="I220">
        <v>0</v>
      </c>
      <c r="J220">
        <v>0</v>
      </c>
      <c r="K220">
        <v>0</v>
      </c>
      <c r="L220">
        <v>0</v>
      </c>
      <c r="M220">
        <v>1</v>
      </c>
    </row>
    <row r="221" spans="1:13" x14ac:dyDescent="0.25">
      <c r="A221" t="s">
        <v>256</v>
      </c>
      <c r="B221" s="5">
        <v>4.2</v>
      </c>
      <c r="C221" t="s">
        <v>257</v>
      </c>
      <c r="D221" t="s">
        <v>258</v>
      </c>
      <c r="E221" t="s">
        <v>33</v>
      </c>
      <c r="F221" s="4">
        <v>87000</v>
      </c>
      <c r="G221" s="4">
        <v>126000</v>
      </c>
      <c r="H221" s="4">
        <f t="shared" si="3"/>
        <v>106500</v>
      </c>
      <c r="I221">
        <v>0</v>
      </c>
      <c r="J221">
        <v>0</v>
      </c>
      <c r="K221">
        <v>0</v>
      </c>
      <c r="L221">
        <v>0</v>
      </c>
      <c r="M221">
        <v>1</v>
      </c>
    </row>
    <row r="222" spans="1:13" x14ac:dyDescent="0.25">
      <c r="A222" t="s">
        <v>84</v>
      </c>
      <c r="B222" s="5">
        <v>3.4</v>
      </c>
      <c r="C222" t="s">
        <v>7</v>
      </c>
      <c r="D222" t="s">
        <v>259</v>
      </c>
      <c r="E222" t="s">
        <v>33</v>
      </c>
      <c r="F222" s="4">
        <v>184000</v>
      </c>
      <c r="G222" s="4">
        <v>260000</v>
      </c>
      <c r="H222" s="4">
        <f t="shared" si="3"/>
        <v>222000</v>
      </c>
      <c r="I222">
        <v>1</v>
      </c>
      <c r="J222">
        <v>1</v>
      </c>
      <c r="K222">
        <v>0</v>
      </c>
      <c r="L222">
        <v>0</v>
      </c>
      <c r="M222">
        <v>1</v>
      </c>
    </row>
    <row r="223" spans="1:13" x14ac:dyDescent="0.25">
      <c r="A223" t="s">
        <v>260</v>
      </c>
      <c r="B223" s="5">
        <v>3.4</v>
      </c>
      <c r="C223" t="s">
        <v>7</v>
      </c>
      <c r="D223" t="s">
        <v>259</v>
      </c>
      <c r="E223" t="s">
        <v>33</v>
      </c>
      <c r="F223" s="4">
        <v>144000</v>
      </c>
      <c r="G223" s="4">
        <v>216000</v>
      </c>
      <c r="H223" s="4">
        <f t="shared" si="3"/>
        <v>180000</v>
      </c>
      <c r="I223">
        <v>0</v>
      </c>
      <c r="J223">
        <v>0</v>
      </c>
      <c r="K223">
        <v>0</v>
      </c>
      <c r="L223">
        <v>0</v>
      </c>
      <c r="M223">
        <v>1</v>
      </c>
    </row>
    <row r="224" spans="1:13" x14ac:dyDescent="0.25">
      <c r="A224" t="s">
        <v>261</v>
      </c>
      <c r="B224" s="5">
        <v>3.7</v>
      </c>
      <c r="C224" t="s">
        <v>262</v>
      </c>
      <c r="D224" t="s">
        <v>263</v>
      </c>
      <c r="E224" t="s">
        <v>33</v>
      </c>
      <c r="F224" s="4">
        <v>180000</v>
      </c>
      <c r="G224" s="4">
        <v>250000</v>
      </c>
      <c r="H224" s="4">
        <f t="shared" si="3"/>
        <v>215000</v>
      </c>
      <c r="I224">
        <v>0</v>
      </c>
      <c r="J224">
        <v>0</v>
      </c>
      <c r="K224">
        <v>0</v>
      </c>
      <c r="L224">
        <v>0</v>
      </c>
      <c r="M224">
        <v>1</v>
      </c>
    </row>
    <row r="225" spans="1:13" x14ac:dyDescent="0.25">
      <c r="A225" t="s">
        <v>180</v>
      </c>
      <c r="B225" s="5">
        <v>3.7</v>
      </c>
      <c r="C225" t="s">
        <v>264</v>
      </c>
      <c r="D225" t="s">
        <v>263</v>
      </c>
      <c r="E225" t="s">
        <v>33</v>
      </c>
      <c r="F225" s="4">
        <v>112000</v>
      </c>
      <c r="G225" s="4">
        <v>112000</v>
      </c>
      <c r="H225" s="4">
        <f t="shared" si="3"/>
        <v>112000</v>
      </c>
      <c r="I225">
        <v>1</v>
      </c>
      <c r="J225">
        <v>1</v>
      </c>
      <c r="K225">
        <v>0</v>
      </c>
      <c r="L225">
        <v>0</v>
      </c>
      <c r="M225">
        <v>1</v>
      </c>
    </row>
    <row r="226" spans="1:13" x14ac:dyDescent="0.25">
      <c r="A226" t="s">
        <v>121</v>
      </c>
      <c r="B226" s="5">
        <v>3.3</v>
      </c>
      <c r="C226" t="s">
        <v>265</v>
      </c>
      <c r="D226" t="s">
        <v>263</v>
      </c>
      <c r="E226" t="s">
        <v>33</v>
      </c>
      <c r="F226" s="4">
        <v>97000</v>
      </c>
      <c r="G226" s="4">
        <v>146000</v>
      </c>
      <c r="H226" s="4">
        <f t="shared" si="3"/>
        <v>121500</v>
      </c>
      <c r="I226">
        <v>0</v>
      </c>
      <c r="J226">
        <v>0</v>
      </c>
      <c r="K226">
        <v>0</v>
      </c>
      <c r="L226">
        <v>0</v>
      </c>
      <c r="M226">
        <v>1</v>
      </c>
    </row>
    <row r="227" spans="1:13" x14ac:dyDescent="0.25">
      <c r="A227" t="s">
        <v>266</v>
      </c>
      <c r="B227" s="5">
        <v>2.9</v>
      </c>
      <c r="C227" t="s">
        <v>267</v>
      </c>
      <c r="D227" t="s">
        <v>263</v>
      </c>
      <c r="E227" t="s">
        <v>33</v>
      </c>
      <c r="F227" s="4">
        <v>95000</v>
      </c>
      <c r="G227" s="4">
        <v>115000</v>
      </c>
      <c r="H227" s="4">
        <f t="shared" si="3"/>
        <v>105000</v>
      </c>
      <c r="I227">
        <v>0</v>
      </c>
      <c r="J227">
        <v>0</v>
      </c>
      <c r="K227">
        <v>0</v>
      </c>
      <c r="L227">
        <v>0</v>
      </c>
      <c r="M227">
        <v>1</v>
      </c>
    </row>
    <row r="228" spans="1:13" x14ac:dyDescent="0.25">
      <c r="A228" t="s">
        <v>268</v>
      </c>
      <c r="B228" s="5">
        <v>4.5999999999999996</v>
      </c>
      <c r="C228" t="s">
        <v>269</v>
      </c>
      <c r="D228" t="s">
        <v>270</v>
      </c>
      <c r="E228" t="s">
        <v>271</v>
      </c>
      <c r="F228" s="4">
        <v>79000</v>
      </c>
      <c r="G228" s="4">
        <v>237000</v>
      </c>
      <c r="H228" s="4">
        <f t="shared" si="3"/>
        <v>158000</v>
      </c>
      <c r="I228">
        <v>0</v>
      </c>
      <c r="J228">
        <v>0</v>
      </c>
      <c r="K228">
        <v>0</v>
      </c>
      <c r="L228">
        <v>0</v>
      </c>
      <c r="M228">
        <v>1</v>
      </c>
    </row>
    <row r="229" spans="1:13" x14ac:dyDescent="0.25">
      <c r="A229" t="s">
        <v>272</v>
      </c>
      <c r="B229" s="5">
        <v>4.8</v>
      </c>
      <c r="C229" t="s">
        <v>273</v>
      </c>
      <c r="D229" t="s">
        <v>270</v>
      </c>
      <c r="E229" t="s">
        <v>271</v>
      </c>
      <c r="F229" s="4">
        <v>67000</v>
      </c>
      <c r="G229" s="4">
        <v>99000</v>
      </c>
      <c r="H229" s="4">
        <f t="shared" si="3"/>
        <v>83000</v>
      </c>
      <c r="I229">
        <v>0</v>
      </c>
      <c r="J229">
        <v>1</v>
      </c>
      <c r="K229">
        <v>0</v>
      </c>
      <c r="L229">
        <v>0</v>
      </c>
      <c r="M229">
        <v>1</v>
      </c>
    </row>
    <row r="230" spans="1:13" x14ac:dyDescent="0.25">
      <c r="A230" t="s">
        <v>272</v>
      </c>
      <c r="B230" s="5">
        <v>4.8</v>
      </c>
      <c r="C230" t="s">
        <v>273</v>
      </c>
      <c r="D230" t="s">
        <v>270</v>
      </c>
      <c r="E230" t="s">
        <v>271</v>
      </c>
      <c r="F230" s="4">
        <v>67000</v>
      </c>
      <c r="G230" s="4">
        <v>99000</v>
      </c>
      <c r="H230" s="4">
        <f t="shared" si="3"/>
        <v>83000</v>
      </c>
      <c r="I230">
        <v>0</v>
      </c>
      <c r="J230">
        <v>1</v>
      </c>
      <c r="K230">
        <v>0</v>
      </c>
      <c r="L230">
        <v>0</v>
      </c>
      <c r="M230">
        <v>1</v>
      </c>
    </row>
    <row r="231" spans="1:13" x14ac:dyDescent="0.25">
      <c r="A231" t="s">
        <v>272</v>
      </c>
      <c r="B231" s="5">
        <v>4.8</v>
      </c>
      <c r="C231" t="s">
        <v>273</v>
      </c>
      <c r="D231" t="s">
        <v>270</v>
      </c>
      <c r="E231" t="s">
        <v>271</v>
      </c>
      <c r="F231" s="4">
        <v>67000</v>
      </c>
      <c r="G231" s="4">
        <v>99000</v>
      </c>
      <c r="H231" s="4">
        <f t="shared" si="3"/>
        <v>83000</v>
      </c>
      <c r="I231">
        <v>0</v>
      </c>
      <c r="J231">
        <v>1</v>
      </c>
      <c r="K231">
        <v>0</v>
      </c>
      <c r="L231">
        <v>0</v>
      </c>
      <c r="M231">
        <v>1</v>
      </c>
    </row>
    <row r="232" spans="1:13" x14ac:dyDescent="0.25">
      <c r="A232" t="s">
        <v>272</v>
      </c>
      <c r="B232" s="5">
        <v>4.8</v>
      </c>
      <c r="C232" t="s">
        <v>273</v>
      </c>
      <c r="D232" t="s">
        <v>270</v>
      </c>
      <c r="E232" t="s">
        <v>271</v>
      </c>
      <c r="F232" s="4">
        <v>67000</v>
      </c>
      <c r="G232" s="4">
        <v>99000</v>
      </c>
      <c r="H232" s="4">
        <f t="shared" si="3"/>
        <v>83000</v>
      </c>
      <c r="I232">
        <v>0</v>
      </c>
      <c r="J232">
        <v>1</v>
      </c>
      <c r="K232">
        <v>0</v>
      </c>
      <c r="L232">
        <v>0</v>
      </c>
      <c r="M232">
        <v>1</v>
      </c>
    </row>
    <row r="233" spans="1:13" x14ac:dyDescent="0.25">
      <c r="A233" t="s">
        <v>272</v>
      </c>
      <c r="B233" s="5">
        <v>4.8</v>
      </c>
      <c r="C233" t="s">
        <v>273</v>
      </c>
      <c r="D233" t="s">
        <v>270</v>
      </c>
      <c r="E233" t="s">
        <v>271</v>
      </c>
      <c r="F233" s="4">
        <v>67000</v>
      </c>
      <c r="G233" s="4">
        <v>99000</v>
      </c>
      <c r="H233" s="4">
        <f t="shared" si="3"/>
        <v>83000</v>
      </c>
      <c r="I233">
        <v>0</v>
      </c>
      <c r="J233">
        <v>1</v>
      </c>
      <c r="K233">
        <v>0</v>
      </c>
      <c r="L233">
        <v>0</v>
      </c>
      <c r="M233">
        <v>1</v>
      </c>
    </row>
    <row r="234" spans="1:13" x14ac:dyDescent="0.25">
      <c r="A234" t="s">
        <v>272</v>
      </c>
      <c r="B234" s="5">
        <v>4.8</v>
      </c>
      <c r="C234" t="s">
        <v>273</v>
      </c>
      <c r="D234" t="s">
        <v>270</v>
      </c>
      <c r="E234" t="s">
        <v>271</v>
      </c>
      <c r="F234" s="4">
        <v>67000</v>
      </c>
      <c r="G234" s="4">
        <v>99000</v>
      </c>
      <c r="H234" s="4">
        <f t="shared" si="3"/>
        <v>83000</v>
      </c>
      <c r="I234">
        <v>0</v>
      </c>
      <c r="J234">
        <v>1</v>
      </c>
      <c r="K234">
        <v>0</v>
      </c>
      <c r="L234">
        <v>0</v>
      </c>
      <c r="M234">
        <v>1</v>
      </c>
    </row>
    <row r="235" spans="1:13" x14ac:dyDescent="0.25">
      <c r="A235" t="s">
        <v>272</v>
      </c>
      <c r="B235" s="5">
        <v>4.8</v>
      </c>
      <c r="C235" t="s">
        <v>273</v>
      </c>
      <c r="D235" t="s">
        <v>270</v>
      </c>
      <c r="E235" t="s">
        <v>271</v>
      </c>
      <c r="F235" s="4">
        <v>67000</v>
      </c>
      <c r="G235" s="4">
        <v>99000</v>
      </c>
      <c r="H235" s="4">
        <f t="shared" si="3"/>
        <v>83000</v>
      </c>
      <c r="I235">
        <v>0</v>
      </c>
      <c r="J235">
        <v>1</v>
      </c>
      <c r="K235">
        <v>0</v>
      </c>
      <c r="L235">
        <v>0</v>
      </c>
      <c r="M235">
        <v>1</v>
      </c>
    </row>
    <row r="236" spans="1:13" x14ac:dyDescent="0.25">
      <c r="A236" t="s">
        <v>272</v>
      </c>
      <c r="B236" s="5">
        <v>4.8</v>
      </c>
      <c r="C236" t="s">
        <v>273</v>
      </c>
      <c r="D236" t="s">
        <v>270</v>
      </c>
      <c r="E236" t="s">
        <v>271</v>
      </c>
      <c r="F236" s="4">
        <v>67000</v>
      </c>
      <c r="G236" s="4">
        <v>99000</v>
      </c>
      <c r="H236" s="4">
        <f t="shared" si="3"/>
        <v>83000</v>
      </c>
      <c r="I236">
        <v>0</v>
      </c>
      <c r="J236">
        <v>1</v>
      </c>
      <c r="K236">
        <v>0</v>
      </c>
      <c r="L236">
        <v>0</v>
      </c>
      <c r="M236">
        <v>1</v>
      </c>
    </row>
    <row r="237" spans="1:13" x14ac:dyDescent="0.25">
      <c r="A237" t="s">
        <v>272</v>
      </c>
      <c r="B237" s="5">
        <v>4.8</v>
      </c>
      <c r="C237" t="s">
        <v>273</v>
      </c>
      <c r="D237" t="s">
        <v>270</v>
      </c>
      <c r="E237" t="s">
        <v>271</v>
      </c>
      <c r="F237" s="4">
        <v>67000</v>
      </c>
      <c r="G237" s="4">
        <v>99000</v>
      </c>
      <c r="H237" s="4">
        <f t="shared" si="3"/>
        <v>83000</v>
      </c>
      <c r="I237">
        <v>0</v>
      </c>
      <c r="J237">
        <v>1</v>
      </c>
      <c r="K237">
        <v>0</v>
      </c>
      <c r="L237">
        <v>0</v>
      </c>
      <c r="M237">
        <v>1</v>
      </c>
    </row>
    <row r="238" spans="1:13" x14ac:dyDescent="0.25">
      <c r="A238" t="s">
        <v>272</v>
      </c>
      <c r="B238" s="5">
        <v>4.8</v>
      </c>
      <c r="C238" t="s">
        <v>273</v>
      </c>
      <c r="D238" t="s">
        <v>270</v>
      </c>
      <c r="E238" t="s">
        <v>271</v>
      </c>
      <c r="F238" s="4">
        <v>67000</v>
      </c>
      <c r="G238" s="4">
        <v>99000</v>
      </c>
      <c r="H238" s="4">
        <f t="shared" si="3"/>
        <v>83000</v>
      </c>
      <c r="I238">
        <v>0</v>
      </c>
      <c r="J238">
        <v>1</v>
      </c>
      <c r="K238">
        <v>0</v>
      </c>
      <c r="L238">
        <v>0</v>
      </c>
      <c r="M238">
        <v>1</v>
      </c>
    </row>
    <row r="239" spans="1:13" x14ac:dyDescent="0.25">
      <c r="A239" t="s">
        <v>272</v>
      </c>
      <c r="B239" s="5">
        <v>4.8</v>
      </c>
      <c r="C239" t="s">
        <v>273</v>
      </c>
      <c r="D239" t="s">
        <v>270</v>
      </c>
      <c r="E239" t="s">
        <v>271</v>
      </c>
      <c r="F239" s="4">
        <v>67000</v>
      </c>
      <c r="G239" s="4">
        <v>99000</v>
      </c>
      <c r="H239" s="4">
        <f t="shared" si="3"/>
        <v>83000</v>
      </c>
      <c r="I239">
        <v>0</v>
      </c>
      <c r="J239">
        <v>1</v>
      </c>
      <c r="K239">
        <v>0</v>
      </c>
      <c r="L239">
        <v>0</v>
      </c>
      <c r="M239">
        <v>1</v>
      </c>
    </row>
    <row r="240" spans="1:13" x14ac:dyDescent="0.25">
      <c r="A240" t="s">
        <v>272</v>
      </c>
      <c r="B240" s="5">
        <v>4.8</v>
      </c>
      <c r="C240" t="s">
        <v>273</v>
      </c>
      <c r="D240" t="s">
        <v>270</v>
      </c>
      <c r="E240" t="s">
        <v>271</v>
      </c>
      <c r="F240" s="4">
        <v>67000</v>
      </c>
      <c r="G240" s="4">
        <v>99000</v>
      </c>
      <c r="H240" s="4">
        <f t="shared" si="3"/>
        <v>83000</v>
      </c>
      <c r="I240">
        <v>0</v>
      </c>
      <c r="J240">
        <v>1</v>
      </c>
      <c r="K240">
        <v>0</v>
      </c>
      <c r="L240">
        <v>0</v>
      </c>
      <c r="M240">
        <v>1</v>
      </c>
    </row>
    <row r="241" spans="1:13" x14ac:dyDescent="0.25">
      <c r="A241" t="s">
        <v>272</v>
      </c>
      <c r="B241" s="5">
        <v>4.8</v>
      </c>
      <c r="C241" t="s">
        <v>273</v>
      </c>
      <c r="D241" t="s">
        <v>270</v>
      </c>
      <c r="E241" t="s">
        <v>271</v>
      </c>
      <c r="F241" s="4">
        <v>67000</v>
      </c>
      <c r="G241" s="4">
        <v>99000</v>
      </c>
      <c r="H241" s="4">
        <f t="shared" si="3"/>
        <v>83000</v>
      </c>
      <c r="I241">
        <v>0</v>
      </c>
      <c r="J241">
        <v>1</v>
      </c>
      <c r="K241">
        <v>0</v>
      </c>
      <c r="L241">
        <v>0</v>
      </c>
      <c r="M241">
        <v>1</v>
      </c>
    </row>
    <row r="242" spans="1:13" x14ac:dyDescent="0.25">
      <c r="A242" t="s">
        <v>272</v>
      </c>
      <c r="B242" s="5">
        <v>4.8</v>
      </c>
      <c r="C242" t="s">
        <v>273</v>
      </c>
      <c r="D242" t="s">
        <v>270</v>
      </c>
      <c r="E242" t="s">
        <v>271</v>
      </c>
      <c r="F242" s="4">
        <v>67000</v>
      </c>
      <c r="G242" s="4">
        <v>99000</v>
      </c>
      <c r="H242" s="4">
        <f t="shared" si="3"/>
        <v>83000</v>
      </c>
      <c r="I242">
        <v>0</v>
      </c>
      <c r="J242">
        <v>1</v>
      </c>
      <c r="K242">
        <v>0</v>
      </c>
      <c r="L242">
        <v>0</v>
      </c>
      <c r="M242">
        <v>1</v>
      </c>
    </row>
    <row r="243" spans="1:13" x14ac:dyDescent="0.25">
      <c r="A243" t="s">
        <v>272</v>
      </c>
      <c r="B243" s="5">
        <v>4.8</v>
      </c>
      <c r="C243" t="s">
        <v>273</v>
      </c>
      <c r="D243" t="s">
        <v>270</v>
      </c>
      <c r="E243" t="s">
        <v>271</v>
      </c>
      <c r="F243" s="4">
        <v>67000</v>
      </c>
      <c r="G243" s="4">
        <v>99000</v>
      </c>
      <c r="H243" s="4">
        <f t="shared" si="3"/>
        <v>83000</v>
      </c>
      <c r="I243">
        <v>0</v>
      </c>
      <c r="J243">
        <v>1</v>
      </c>
      <c r="K243">
        <v>0</v>
      </c>
      <c r="L243">
        <v>0</v>
      </c>
      <c r="M243">
        <v>1</v>
      </c>
    </row>
    <row r="244" spans="1:13" x14ac:dyDescent="0.25">
      <c r="A244" t="s">
        <v>272</v>
      </c>
      <c r="B244" s="5">
        <v>4.8</v>
      </c>
      <c r="C244" t="s">
        <v>273</v>
      </c>
      <c r="D244" t="s">
        <v>270</v>
      </c>
      <c r="E244" t="s">
        <v>271</v>
      </c>
      <c r="F244" s="4">
        <v>67000</v>
      </c>
      <c r="G244" s="4">
        <v>99000</v>
      </c>
      <c r="H244" s="4">
        <f t="shared" si="3"/>
        <v>83000</v>
      </c>
      <c r="I244">
        <v>0</v>
      </c>
      <c r="J244">
        <v>1</v>
      </c>
      <c r="K244">
        <v>0</v>
      </c>
      <c r="L244">
        <v>0</v>
      </c>
      <c r="M244">
        <v>1</v>
      </c>
    </row>
    <row r="245" spans="1:13" x14ac:dyDescent="0.25">
      <c r="A245" t="s">
        <v>272</v>
      </c>
      <c r="B245" s="5">
        <v>4.8</v>
      </c>
      <c r="C245" t="s">
        <v>273</v>
      </c>
      <c r="D245" t="s">
        <v>270</v>
      </c>
      <c r="E245" t="s">
        <v>271</v>
      </c>
      <c r="F245" s="4">
        <v>67000</v>
      </c>
      <c r="G245" s="4">
        <v>99000</v>
      </c>
      <c r="H245" s="4">
        <f t="shared" si="3"/>
        <v>83000</v>
      </c>
      <c r="I245">
        <v>0</v>
      </c>
      <c r="J245">
        <v>1</v>
      </c>
      <c r="K245">
        <v>0</v>
      </c>
      <c r="L245">
        <v>0</v>
      </c>
      <c r="M245">
        <v>1</v>
      </c>
    </row>
    <row r="246" spans="1:13" x14ac:dyDescent="0.25">
      <c r="A246" t="s">
        <v>272</v>
      </c>
      <c r="B246" s="5">
        <v>4.8</v>
      </c>
      <c r="C246" t="s">
        <v>273</v>
      </c>
      <c r="D246" t="s">
        <v>270</v>
      </c>
      <c r="E246" t="s">
        <v>271</v>
      </c>
      <c r="F246" s="4">
        <v>67000</v>
      </c>
      <c r="G246" s="4">
        <v>99000</v>
      </c>
      <c r="H246" s="4">
        <f t="shared" si="3"/>
        <v>83000</v>
      </c>
      <c r="I246">
        <v>0</v>
      </c>
      <c r="J246">
        <v>1</v>
      </c>
      <c r="K246">
        <v>0</v>
      </c>
      <c r="L246">
        <v>0</v>
      </c>
      <c r="M246">
        <v>1</v>
      </c>
    </row>
    <row r="247" spans="1:13" x14ac:dyDescent="0.25">
      <c r="A247" t="s">
        <v>272</v>
      </c>
      <c r="B247" s="5">
        <v>4.8</v>
      </c>
      <c r="C247" t="s">
        <v>273</v>
      </c>
      <c r="D247" t="s">
        <v>270</v>
      </c>
      <c r="E247" t="s">
        <v>271</v>
      </c>
      <c r="F247" s="4">
        <v>67000</v>
      </c>
      <c r="G247" s="4">
        <v>99000</v>
      </c>
      <c r="H247" s="4">
        <f t="shared" si="3"/>
        <v>83000</v>
      </c>
      <c r="I247">
        <v>0</v>
      </c>
      <c r="J247">
        <v>1</v>
      </c>
      <c r="K247">
        <v>0</v>
      </c>
      <c r="L247">
        <v>0</v>
      </c>
      <c r="M247">
        <v>1</v>
      </c>
    </row>
    <row r="248" spans="1:13" x14ac:dyDescent="0.25">
      <c r="A248" t="s">
        <v>274</v>
      </c>
      <c r="B248" s="5">
        <v>3.8</v>
      </c>
      <c r="C248" t="s">
        <v>275</v>
      </c>
      <c r="D248" t="s">
        <v>270</v>
      </c>
      <c r="E248" t="s">
        <v>271</v>
      </c>
      <c r="F248" s="4">
        <v>59000</v>
      </c>
      <c r="G248" s="4">
        <v>86000</v>
      </c>
      <c r="H248" s="4">
        <f t="shared" si="3"/>
        <v>72500</v>
      </c>
      <c r="I248">
        <v>0</v>
      </c>
      <c r="J248">
        <v>0</v>
      </c>
      <c r="K248">
        <v>0</v>
      </c>
      <c r="L248">
        <v>0</v>
      </c>
      <c r="M248">
        <v>1</v>
      </c>
    </row>
    <row r="249" spans="1:13" x14ac:dyDescent="0.25">
      <c r="A249" t="s">
        <v>276</v>
      </c>
      <c r="C249" t="s">
        <v>277</v>
      </c>
      <c r="D249" t="s">
        <v>278</v>
      </c>
      <c r="E249" t="s">
        <v>271</v>
      </c>
      <c r="F249" s="4">
        <v>100000</v>
      </c>
      <c r="G249" s="4">
        <v>180000</v>
      </c>
      <c r="H249" s="4">
        <f t="shared" si="3"/>
        <v>140000</v>
      </c>
      <c r="I249">
        <v>0</v>
      </c>
      <c r="J249">
        <v>0</v>
      </c>
      <c r="K249">
        <v>0</v>
      </c>
      <c r="L249">
        <v>0</v>
      </c>
      <c r="M249">
        <v>1</v>
      </c>
    </row>
    <row r="250" spans="1:13" x14ac:dyDescent="0.25">
      <c r="A250" t="s">
        <v>279</v>
      </c>
      <c r="B250" s="5">
        <v>3.9</v>
      </c>
      <c r="C250" t="s">
        <v>280</v>
      </c>
      <c r="D250" t="s">
        <v>278</v>
      </c>
      <c r="E250" t="s">
        <v>271</v>
      </c>
      <c r="F250" s="4">
        <v>75000</v>
      </c>
      <c r="G250" s="4">
        <v>80000</v>
      </c>
      <c r="H250" s="4">
        <f t="shared" si="3"/>
        <v>77500</v>
      </c>
      <c r="I250">
        <v>0</v>
      </c>
      <c r="J250">
        <v>0</v>
      </c>
      <c r="K250">
        <v>0</v>
      </c>
      <c r="L250">
        <v>0</v>
      </c>
      <c r="M250">
        <v>1</v>
      </c>
    </row>
    <row r="251" spans="1:13" x14ac:dyDescent="0.25">
      <c r="A251" t="s">
        <v>0</v>
      </c>
      <c r="B251" s="5">
        <v>4</v>
      </c>
      <c r="C251" t="s">
        <v>281</v>
      </c>
      <c r="D251" t="s">
        <v>278</v>
      </c>
      <c r="E251" t="s">
        <v>271</v>
      </c>
      <c r="F251" s="4">
        <v>69000</v>
      </c>
      <c r="G251" s="4">
        <v>122000</v>
      </c>
      <c r="H251" s="4">
        <f t="shared" si="3"/>
        <v>95500</v>
      </c>
      <c r="I251">
        <v>0</v>
      </c>
      <c r="J251">
        <v>1</v>
      </c>
      <c r="K251">
        <v>1</v>
      </c>
      <c r="L251">
        <v>1</v>
      </c>
      <c r="M251">
        <v>1</v>
      </c>
    </row>
    <row r="252" spans="1:13" x14ac:dyDescent="0.25">
      <c r="A252" t="s">
        <v>30</v>
      </c>
      <c r="B252" s="5">
        <v>4.3</v>
      </c>
      <c r="C252" t="s">
        <v>282</v>
      </c>
      <c r="D252" t="s">
        <v>283</v>
      </c>
      <c r="E252" t="s">
        <v>271</v>
      </c>
      <c r="F252" s="4">
        <v>135000</v>
      </c>
      <c r="G252" s="4">
        <v>210000</v>
      </c>
      <c r="H252" s="4">
        <f t="shared" si="3"/>
        <v>172500</v>
      </c>
      <c r="I252">
        <v>0</v>
      </c>
      <c r="J252">
        <v>0</v>
      </c>
      <c r="K252">
        <v>0</v>
      </c>
      <c r="L252">
        <v>0</v>
      </c>
      <c r="M252">
        <v>1</v>
      </c>
    </row>
    <row r="253" spans="1:13" x14ac:dyDescent="0.25">
      <c r="A253" t="s">
        <v>0</v>
      </c>
      <c r="B253" s="5">
        <v>3.9</v>
      </c>
      <c r="C253" t="s">
        <v>284</v>
      </c>
      <c r="D253" t="s">
        <v>283</v>
      </c>
      <c r="E253" t="s">
        <v>271</v>
      </c>
      <c r="F253" s="4">
        <v>83000</v>
      </c>
      <c r="G253" s="4">
        <v>127000</v>
      </c>
      <c r="H253" s="4">
        <f t="shared" si="3"/>
        <v>105000</v>
      </c>
      <c r="I253">
        <v>0</v>
      </c>
      <c r="J253">
        <v>0</v>
      </c>
      <c r="K253">
        <v>0</v>
      </c>
      <c r="L253">
        <v>0</v>
      </c>
      <c r="M253">
        <v>1</v>
      </c>
    </row>
    <row r="254" spans="1:13" x14ac:dyDescent="0.25">
      <c r="A254" t="s">
        <v>266</v>
      </c>
      <c r="B254" s="5">
        <v>3.9</v>
      </c>
      <c r="C254" t="s">
        <v>284</v>
      </c>
      <c r="D254" t="s">
        <v>283</v>
      </c>
      <c r="E254" t="s">
        <v>271</v>
      </c>
      <c r="F254" s="4">
        <v>70000</v>
      </c>
      <c r="G254" s="4">
        <v>105000</v>
      </c>
      <c r="H254" s="4">
        <f t="shared" si="3"/>
        <v>87500</v>
      </c>
      <c r="I254">
        <v>0</v>
      </c>
      <c r="J254">
        <v>0</v>
      </c>
      <c r="K254">
        <v>0</v>
      </c>
      <c r="L254">
        <v>0</v>
      </c>
      <c r="M254">
        <v>1</v>
      </c>
    </row>
    <row r="255" spans="1:13" x14ac:dyDescent="0.25">
      <c r="A255" t="s">
        <v>285</v>
      </c>
      <c r="B255" s="5">
        <v>4.0999999999999996</v>
      </c>
      <c r="C255" t="s">
        <v>286</v>
      </c>
      <c r="D255" t="s">
        <v>287</v>
      </c>
      <c r="E255" t="s">
        <v>271</v>
      </c>
      <c r="F255" s="4">
        <v>161000</v>
      </c>
      <c r="G255" s="4">
        <v>188000</v>
      </c>
      <c r="H255" s="4">
        <f t="shared" si="3"/>
        <v>174500</v>
      </c>
      <c r="I255">
        <v>0</v>
      </c>
      <c r="J255">
        <v>0</v>
      </c>
      <c r="K255">
        <v>0</v>
      </c>
      <c r="L255">
        <v>0</v>
      </c>
      <c r="M255">
        <v>1</v>
      </c>
    </row>
    <row r="256" spans="1:13" x14ac:dyDescent="0.25">
      <c r="A256" t="s">
        <v>26</v>
      </c>
      <c r="B256" s="5">
        <v>2.4</v>
      </c>
      <c r="C256" t="s">
        <v>288</v>
      </c>
      <c r="D256" t="s">
        <v>287</v>
      </c>
      <c r="E256" t="s">
        <v>271</v>
      </c>
      <c r="F256" s="4">
        <v>110000</v>
      </c>
      <c r="G256" s="4">
        <v>110000</v>
      </c>
      <c r="H256" s="4">
        <f t="shared" si="3"/>
        <v>110000</v>
      </c>
      <c r="I256">
        <v>0</v>
      </c>
      <c r="J256">
        <v>0</v>
      </c>
      <c r="K256">
        <v>0</v>
      </c>
      <c r="L256">
        <v>0</v>
      </c>
      <c r="M256">
        <v>1</v>
      </c>
    </row>
    <row r="257" spans="1:13" x14ac:dyDescent="0.25">
      <c r="A257" t="s">
        <v>0</v>
      </c>
      <c r="B257" s="5">
        <v>2.9</v>
      </c>
      <c r="C257" t="s">
        <v>289</v>
      </c>
      <c r="D257" t="s">
        <v>287</v>
      </c>
      <c r="E257" t="s">
        <v>271</v>
      </c>
      <c r="F257" s="4">
        <v>106000</v>
      </c>
      <c r="G257" s="4">
        <v>130000</v>
      </c>
      <c r="H257" s="4">
        <f t="shared" si="3"/>
        <v>118000</v>
      </c>
      <c r="I257">
        <v>0</v>
      </c>
      <c r="J257">
        <v>0</v>
      </c>
      <c r="K257">
        <v>0</v>
      </c>
      <c r="L257">
        <v>0</v>
      </c>
      <c r="M257">
        <v>1</v>
      </c>
    </row>
    <row r="258" spans="1:13" x14ac:dyDescent="0.25">
      <c r="A258" t="s">
        <v>0</v>
      </c>
      <c r="B258" s="5">
        <v>3.2</v>
      </c>
      <c r="C258" t="s">
        <v>290</v>
      </c>
      <c r="D258" t="s">
        <v>287</v>
      </c>
      <c r="E258" t="s">
        <v>271</v>
      </c>
      <c r="F258" s="4">
        <v>100000</v>
      </c>
      <c r="G258" s="4">
        <v>140000</v>
      </c>
      <c r="H258" s="4">
        <f t="shared" si="3"/>
        <v>120000</v>
      </c>
      <c r="I258">
        <v>0</v>
      </c>
      <c r="J258">
        <v>0</v>
      </c>
      <c r="K258">
        <v>0</v>
      </c>
      <c r="L258">
        <v>0</v>
      </c>
      <c r="M258">
        <v>1</v>
      </c>
    </row>
    <row r="259" spans="1:13" x14ac:dyDescent="0.25">
      <c r="A259" t="s">
        <v>0</v>
      </c>
      <c r="B259" s="5">
        <v>4</v>
      </c>
      <c r="C259" t="s">
        <v>291</v>
      </c>
      <c r="D259" t="s">
        <v>287</v>
      </c>
      <c r="E259" t="s">
        <v>271</v>
      </c>
      <c r="F259" s="4">
        <v>94000</v>
      </c>
      <c r="G259" s="4">
        <v>132000</v>
      </c>
      <c r="H259" s="4">
        <f t="shared" ref="H259:H322" si="4">(F259+G259)/2</f>
        <v>113000</v>
      </c>
      <c r="I259">
        <v>0</v>
      </c>
      <c r="J259">
        <v>0</v>
      </c>
      <c r="K259">
        <v>0</v>
      </c>
      <c r="L259">
        <v>0</v>
      </c>
      <c r="M259">
        <v>1</v>
      </c>
    </row>
    <row r="260" spans="1:13" x14ac:dyDescent="0.25">
      <c r="A260" t="s">
        <v>0</v>
      </c>
      <c r="B260" s="5">
        <v>4.2</v>
      </c>
      <c r="C260" t="s">
        <v>292</v>
      </c>
      <c r="D260" t="s">
        <v>287</v>
      </c>
      <c r="E260" t="s">
        <v>271</v>
      </c>
      <c r="F260" s="4">
        <v>85000</v>
      </c>
      <c r="G260" s="4">
        <v>124000</v>
      </c>
      <c r="H260" s="4">
        <f t="shared" si="4"/>
        <v>104500</v>
      </c>
      <c r="I260">
        <v>0</v>
      </c>
      <c r="J260">
        <v>0</v>
      </c>
      <c r="K260">
        <v>0</v>
      </c>
      <c r="L260">
        <v>0</v>
      </c>
      <c r="M260">
        <v>1</v>
      </c>
    </row>
    <row r="261" spans="1:13" x14ac:dyDescent="0.25">
      <c r="A261" t="s">
        <v>0</v>
      </c>
      <c r="B261" s="5">
        <v>3.5</v>
      </c>
      <c r="C261" t="s">
        <v>293</v>
      </c>
      <c r="D261" t="s">
        <v>287</v>
      </c>
      <c r="E261" t="s">
        <v>271</v>
      </c>
      <c r="F261" s="4">
        <v>70000</v>
      </c>
      <c r="G261" s="4">
        <v>105000</v>
      </c>
      <c r="H261" s="4">
        <f t="shared" si="4"/>
        <v>87500</v>
      </c>
      <c r="I261">
        <v>1</v>
      </c>
      <c r="J261">
        <v>0</v>
      </c>
      <c r="K261">
        <v>0</v>
      </c>
      <c r="L261">
        <v>0</v>
      </c>
      <c r="M261">
        <v>1</v>
      </c>
    </row>
    <row r="262" spans="1:13" x14ac:dyDescent="0.25">
      <c r="A262" t="s">
        <v>294</v>
      </c>
      <c r="B262" s="5">
        <v>3.8</v>
      </c>
      <c r="C262" t="s">
        <v>295</v>
      </c>
      <c r="D262" t="s">
        <v>296</v>
      </c>
      <c r="E262" t="s">
        <v>271</v>
      </c>
      <c r="F262" s="4">
        <v>78000</v>
      </c>
      <c r="G262" s="4">
        <v>140000</v>
      </c>
      <c r="H262" s="4">
        <f t="shared" si="4"/>
        <v>109000</v>
      </c>
      <c r="I262">
        <v>0</v>
      </c>
      <c r="J262">
        <v>0</v>
      </c>
      <c r="K262">
        <v>0</v>
      </c>
      <c r="L262">
        <v>0</v>
      </c>
      <c r="M262">
        <v>1</v>
      </c>
    </row>
    <row r="263" spans="1:13" x14ac:dyDescent="0.25">
      <c r="A263" t="s">
        <v>297</v>
      </c>
      <c r="B263" s="5">
        <v>3.6</v>
      </c>
      <c r="C263" t="s">
        <v>298</v>
      </c>
      <c r="D263" t="s">
        <v>299</v>
      </c>
      <c r="E263" t="s">
        <v>271</v>
      </c>
      <c r="F263" s="4">
        <v>156000</v>
      </c>
      <c r="G263" s="4">
        <v>208000</v>
      </c>
      <c r="H263" s="4">
        <f t="shared" si="4"/>
        <v>182000</v>
      </c>
      <c r="I263">
        <v>0</v>
      </c>
      <c r="J263">
        <v>0</v>
      </c>
      <c r="K263">
        <v>0</v>
      </c>
      <c r="L263">
        <v>0</v>
      </c>
      <c r="M263">
        <v>1</v>
      </c>
    </row>
    <row r="264" spans="1:13" x14ac:dyDescent="0.25">
      <c r="A264" t="s">
        <v>297</v>
      </c>
      <c r="B264" s="5">
        <v>3.6</v>
      </c>
      <c r="C264" t="s">
        <v>300</v>
      </c>
      <c r="D264" t="s">
        <v>299</v>
      </c>
      <c r="E264" t="s">
        <v>271</v>
      </c>
      <c r="F264" s="4">
        <v>156000</v>
      </c>
      <c r="G264" s="4">
        <v>208000</v>
      </c>
      <c r="H264" s="4">
        <f t="shared" si="4"/>
        <v>182000</v>
      </c>
      <c r="I264">
        <v>0</v>
      </c>
      <c r="J264">
        <v>0</v>
      </c>
      <c r="K264">
        <v>0</v>
      </c>
      <c r="L264">
        <v>0</v>
      </c>
      <c r="M264">
        <v>1</v>
      </c>
    </row>
    <row r="265" spans="1:13" x14ac:dyDescent="0.25">
      <c r="A265" t="s">
        <v>301</v>
      </c>
      <c r="B265" s="5">
        <v>3.9</v>
      </c>
      <c r="C265" t="s">
        <v>280</v>
      </c>
      <c r="D265" t="s">
        <v>302</v>
      </c>
      <c r="E265" t="s">
        <v>271</v>
      </c>
      <c r="F265" s="4">
        <v>105000</v>
      </c>
      <c r="G265" s="4">
        <v>135000</v>
      </c>
      <c r="H265" s="4">
        <f t="shared" si="4"/>
        <v>120000</v>
      </c>
      <c r="I265">
        <v>0</v>
      </c>
      <c r="J265">
        <v>0</v>
      </c>
      <c r="K265">
        <v>0</v>
      </c>
      <c r="L265">
        <v>0</v>
      </c>
      <c r="M265">
        <v>1</v>
      </c>
    </row>
    <row r="266" spans="1:13" x14ac:dyDescent="0.25">
      <c r="A266" t="s">
        <v>0</v>
      </c>
      <c r="B266" s="5">
        <v>4.2</v>
      </c>
      <c r="C266" t="s">
        <v>303</v>
      </c>
      <c r="D266" t="s">
        <v>304</v>
      </c>
      <c r="E266" t="s">
        <v>271</v>
      </c>
      <c r="F266" s="4">
        <v>106000</v>
      </c>
      <c r="G266" s="4">
        <v>143000</v>
      </c>
      <c r="H266" s="4">
        <f t="shared" si="4"/>
        <v>124500</v>
      </c>
      <c r="I266">
        <v>0</v>
      </c>
      <c r="J266">
        <v>0</v>
      </c>
      <c r="K266">
        <v>0</v>
      </c>
      <c r="L266">
        <v>0</v>
      </c>
      <c r="M266">
        <v>1</v>
      </c>
    </row>
    <row r="267" spans="1:13" x14ac:dyDescent="0.25">
      <c r="A267" t="s">
        <v>305</v>
      </c>
      <c r="B267" s="5">
        <v>4.0999999999999996</v>
      </c>
      <c r="C267" t="s">
        <v>306</v>
      </c>
      <c r="D267" t="s">
        <v>307</v>
      </c>
      <c r="E267" t="s">
        <v>308</v>
      </c>
      <c r="F267" s="4">
        <v>154000</v>
      </c>
      <c r="G267" s="4">
        <v>254000</v>
      </c>
      <c r="H267" s="4">
        <f t="shared" si="4"/>
        <v>204000</v>
      </c>
      <c r="I267">
        <v>0</v>
      </c>
      <c r="J267">
        <v>0</v>
      </c>
      <c r="K267">
        <v>0</v>
      </c>
      <c r="L267">
        <v>0</v>
      </c>
      <c r="M267">
        <v>1</v>
      </c>
    </row>
    <row r="268" spans="1:13" x14ac:dyDescent="0.25">
      <c r="A268" t="s">
        <v>309</v>
      </c>
      <c r="B268" s="5">
        <v>3.7</v>
      </c>
      <c r="C268" t="s">
        <v>310</v>
      </c>
      <c r="D268" t="s">
        <v>307</v>
      </c>
      <c r="E268" t="s">
        <v>308</v>
      </c>
      <c r="F268" s="4">
        <v>92000</v>
      </c>
      <c r="G268" s="4">
        <v>124000</v>
      </c>
      <c r="H268" s="4">
        <f t="shared" si="4"/>
        <v>108000</v>
      </c>
      <c r="I268">
        <v>0</v>
      </c>
      <c r="J268">
        <v>0</v>
      </c>
      <c r="K268">
        <v>0</v>
      </c>
      <c r="L268">
        <v>0</v>
      </c>
      <c r="M268">
        <v>1</v>
      </c>
    </row>
    <row r="269" spans="1:13" x14ac:dyDescent="0.25">
      <c r="A269" t="s">
        <v>84</v>
      </c>
      <c r="C269" t="s">
        <v>311</v>
      </c>
      <c r="D269" t="s">
        <v>312</v>
      </c>
      <c r="E269" t="s">
        <v>308</v>
      </c>
      <c r="F269" s="4">
        <v>139000</v>
      </c>
      <c r="G269" s="4">
        <v>190000</v>
      </c>
      <c r="H269" s="4">
        <f t="shared" si="4"/>
        <v>164500</v>
      </c>
      <c r="I269">
        <v>0</v>
      </c>
      <c r="J269">
        <v>0</v>
      </c>
      <c r="K269">
        <v>0</v>
      </c>
      <c r="L269">
        <v>0</v>
      </c>
      <c r="M269">
        <v>1</v>
      </c>
    </row>
    <row r="270" spans="1:13" x14ac:dyDescent="0.25">
      <c r="A270" t="s">
        <v>0</v>
      </c>
      <c r="B270" s="5">
        <v>4.2</v>
      </c>
      <c r="C270" t="s">
        <v>313</v>
      </c>
      <c r="D270" t="s">
        <v>312</v>
      </c>
      <c r="E270" t="s">
        <v>308</v>
      </c>
      <c r="F270" s="4">
        <v>90000</v>
      </c>
      <c r="G270" s="4">
        <v>125000</v>
      </c>
      <c r="H270" s="4">
        <f t="shared" si="4"/>
        <v>107500</v>
      </c>
      <c r="I270">
        <v>0</v>
      </c>
      <c r="J270">
        <v>0</v>
      </c>
      <c r="K270">
        <v>0</v>
      </c>
      <c r="L270">
        <v>0</v>
      </c>
      <c r="M270">
        <v>1</v>
      </c>
    </row>
    <row r="271" spans="1:13" x14ac:dyDescent="0.25">
      <c r="A271" t="s">
        <v>0</v>
      </c>
      <c r="B271" s="5">
        <v>4.2</v>
      </c>
      <c r="C271" t="s">
        <v>313</v>
      </c>
      <c r="D271" t="s">
        <v>312</v>
      </c>
      <c r="E271" t="s">
        <v>308</v>
      </c>
      <c r="F271" s="4">
        <v>90000</v>
      </c>
      <c r="G271" s="4">
        <v>125000</v>
      </c>
      <c r="H271" s="4">
        <f t="shared" si="4"/>
        <v>107500</v>
      </c>
      <c r="I271">
        <v>0</v>
      </c>
      <c r="J271">
        <v>0</v>
      </c>
      <c r="K271">
        <v>0</v>
      </c>
      <c r="L271">
        <v>0</v>
      </c>
      <c r="M271">
        <v>1</v>
      </c>
    </row>
    <row r="272" spans="1:13" x14ac:dyDescent="0.25">
      <c r="A272" t="s">
        <v>0</v>
      </c>
      <c r="B272" s="5">
        <v>4.2</v>
      </c>
      <c r="C272" t="s">
        <v>313</v>
      </c>
      <c r="D272" t="s">
        <v>312</v>
      </c>
      <c r="E272" t="s">
        <v>308</v>
      </c>
      <c r="F272" s="4">
        <v>90000</v>
      </c>
      <c r="G272" s="4">
        <v>125000</v>
      </c>
      <c r="H272" s="4">
        <f t="shared" si="4"/>
        <v>107500</v>
      </c>
      <c r="I272">
        <v>0</v>
      </c>
      <c r="J272">
        <v>0</v>
      </c>
      <c r="K272">
        <v>0</v>
      </c>
      <c r="L272">
        <v>0</v>
      </c>
      <c r="M272">
        <v>1</v>
      </c>
    </row>
    <row r="273" spans="1:13" x14ac:dyDescent="0.25">
      <c r="A273" t="s">
        <v>0</v>
      </c>
      <c r="B273" s="5">
        <v>4.2</v>
      </c>
      <c r="C273" t="s">
        <v>313</v>
      </c>
      <c r="D273" t="s">
        <v>312</v>
      </c>
      <c r="E273" t="s">
        <v>308</v>
      </c>
      <c r="F273" s="4">
        <v>90000</v>
      </c>
      <c r="G273" s="4">
        <v>125000</v>
      </c>
      <c r="H273" s="4">
        <f t="shared" si="4"/>
        <v>107500</v>
      </c>
      <c r="I273">
        <v>0</v>
      </c>
      <c r="J273">
        <v>0</v>
      </c>
      <c r="K273">
        <v>0</v>
      </c>
      <c r="L273">
        <v>0</v>
      </c>
      <c r="M273">
        <v>1</v>
      </c>
    </row>
    <row r="274" spans="1:13" x14ac:dyDescent="0.25">
      <c r="A274" t="s">
        <v>0</v>
      </c>
      <c r="B274" s="5">
        <v>4.2</v>
      </c>
      <c r="C274" t="s">
        <v>313</v>
      </c>
      <c r="D274" t="s">
        <v>312</v>
      </c>
      <c r="E274" t="s">
        <v>308</v>
      </c>
      <c r="F274" s="4">
        <v>90000</v>
      </c>
      <c r="G274" s="4">
        <v>125000</v>
      </c>
      <c r="H274" s="4">
        <f t="shared" si="4"/>
        <v>107500</v>
      </c>
      <c r="I274">
        <v>0</v>
      </c>
      <c r="J274">
        <v>0</v>
      </c>
      <c r="K274">
        <v>0</v>
      </c>
      <c r="L274">
        <v>0</v>
      </c>
      <c r="M274">
        <v>1</v>
      </c>
    </row>
    <row r="275" spans="1:13" x14ac:dyDescent="0.25">
      <c r="A275" t="s">
        <v>0</v>
      </c>
      <c r="B275" s="5">
        <v>4.2</v>
      </c>
      <c r="C275" t="s">
        <v>313</v>
      </c>
      <c r="D275" t="s">
        <v>312</v>
      </c>
      <c r="E275" t="s">
        <v>308</v>
      </c>
      <c r="F275" s="4">
        <v>90000</v>
      </c>
      <c r="G275" s="4">
        <v>125000</v>
      </c>
      <c r="H275" s="4">
        <f t="shared" si="4"/>
        <v>107500</v>
      </c>
      <c r="I275">
        <v>0</v>
      </c>
      <c r="J275">
        <v>0</v>
      </c>
      <c r="K275">
        <v>0</v>
      </c>
      <c r="L275">
        <v>0</v>
      </c>
      <c r="M275">
        <v>1</v>
      </c>
    </row>
    <row r="276" spans="1:13" x14ac:dyDescent="0.25">
      <c r="A276" t="s">
        <v>0</v>
      </c>
      <c r="B276" s="5">
        <v>4.2</v>
      </c>
      <c r="C276" t="s">
        <v>313</v>
      </c>
      <c r="D276" t="s">
        <v>312</v>
      </c>
      <c r="E276" t="s">
        <v>308</v>
      </c>
      <c r="F276" s="4">
        <v>90000</v>
      </c>
      <c r="G276" s="4">
        <v>125000</v>
      </c>
      <c r="H276" s="4">
        <f t="shared" si="4"/>
        <v>107500</v>
      </c>
      <c r="I276">
        <v>0</v>
      </c>
      <c r="J276">
        <v>0</v>
      </c>
      <c r="K276">
        <v>0</v>
      </c>
      <c r="L276">
        <v>0</v>
      </c>
      <c r="M276">
        <v>1</v>
      </c>
    </row>
    <row r="277" spans="1:13" x14ac:dyDescent="0.25">
      <c r="A277" t="s">
        <v>0</v>
      </c>
      <c r="B277" s="5">
        <v>4.2</v>
      </c>
      <c r="C277" t="s">
        <v>313</v>
      </c>
      <c r="D277" t="s">
        <v>312</v>
      </c>
      <c r="E277" t="s">
        <v>308</v>
      </c>
      <c r="F277" s="4">
        <v>90000</v>
      </c>
      <c r="G277" s="4">
        <v>125000</v>
      </c>
      <c r="H277" s="4">
        <f t="shared" si="4"/>
        <v>107500</v>
      </c>
      <c r="I277">
        <v>0</v>
      </c>
      <c r="J277">
        <v>0</v>
      </c>
      <c r="K277">
        <v>0</v>
      </c>
      <c r="L277">
        <v>0</v>
      </c>
      <c r="M277">
        <v>1</v>
      </c>
    </row>
    <row r="278" spans="1:13" x14ac:dyDescent="0.25">
      <c r="A278" t="s">
        <v>0</v>
      </c>
      <c r="B278" s="5">
        <v>4.2</v>
      </c>
      <c r="C278" t="s">
        <v>313</v>
      </c>
      <c r="D278" t="s">
        <v>312</v>
      </c>
      <c r="E278" t="s">
        <v>308</v>
      </c>
      <c r="F278" s="4">
        <v>90000</v>
      </c>
      <c r="G278" s="4">
        <v>125000</v>
      </c>
      <c r="H278" s="4">
        <f t="shared" si="4"/>
        <v>107500</v>
      </c>
      <c r="I278">
        <v>0</v>
      </c>
      <c r="J278">
        <v>0</v>
      </c>
      <c r="K278">
        <v>0</v>
      </c>
      <c r="L278">
        <v>0</v>
      </c>
      <c r="M278">
        <v>1</v>
      </c>
    </row>
    <row r="279" spans="1:13" x14ac:dyDescent="0.25">
      <c r="A279" t="s">
        <v>0</v>
      </c>
      <c r="B279" s="5">
        <v>4.2</v>
      </c>
      <c r="C279" t="s">
        <v>313</v>
      </c>
      <c r="D279" t="s">
        <v>312</v>
      </c>
      <c r="E279" t="s">
        <v>308</v>
      </c>
      <c r="F279" s="4">
        <v>90000</v>
      </c>
      <c r="G279" s="4">
        <v>125000</v>
      </c>
      <c r="H279" s="4">
        <f t="shared" si="4"/>
        <v>107500</v>
      </c>
      <c r="I279">
        <v>0</v>
      </c>
      <c r="J279">
        <v>0</v>
      </c>
      <c r="K279">
        <v>0</v>
      </c>
      <c r="L279">
        <v>0</v>
      </c>
      <c r="M279">
        <v>1</v>
      </c>
    </row>
    <row r="280" spans="1:13" x14ac:dyDescent="0.25">
      <c r="A280" t="s">
        <v>0</v>
      </c>
      <c r="B280" s="5">
        <v>4.2</v>
      </c>
      <c r="C280" t="s">
        <v>313</v>
      </c>
      <c r="D280" t="s">
        <v>312</v>
      </c>
      <c r="E280" t="s">
        <v>308</v>
      </c>
      <c r="F280" s="4">
        <v>90000</v>
      </c>
      <c r="G280" s="4">
        <v>125000</v>
      </c>
      <c r="H280" s="4">
        <f t="shared" si="4"/>
        <v>107500</v>
      </c>
      <c r="I280">
        <v>0</v>
      </c>
      <c r="J280">
        <v>0</v>
      </c>
      <c r="K280">
        <v>0</v>
      </c>
      <c r="L280">
        <v>0</v>
      </c>
      <c r="M280">
        <v>1</v>
      </c>
    </row>
    <row r="281" spans="1:13" x14ac:dyDescent="0.25">
      <c r="A281" t="s">
        <v>0</v>
      </c>
      <c r="B281" s="5">
        <v>4.2</v>
      </c>
      <c r="C281" t="s">
        <v>313</v>
      </c>
      <c r="D281" t="s">
        <v>312</v>
      </c>
      <c r="E281" t="s">
        <v>308</v>
      </c>
      <c r="F281" s="4">
        <v>90000</v>
      </c>
      <c r="G281" s="4">
        <v>125000</v>
      </c>
      <c r="H281" s="4">
        <f t="shared" si="4"/>
        <v>107500</v>
      </c>
      <c r="I281">
        <v>0</v>
      </c>
      <c r="J281">
        <v>0</v>
      </c>
      <c r="K281">
        <v>0</v>
      </c>
      <c r="L281">
        <v>0</v>
      </c>
      <c r="M281">
        <v>1</v>
      </c>
    </row>
    <row r="282" spans="1:13" x14ac:dyDescent="0.25">
      <c r="A282" t="s">
        <v>314</v>
      </c>
      <c r="B282" s="5">
        <v>3.8</v>
      </c>
      <c r="C282" t="s">
        <v>315</v>
      </c>
      <c r="D282" t="s">
        <v>312</v>
      </c>
      <c r="E282" t="s">
        <v>308</v>
      </c>
      <c r="F282" s="4">
        <v>75000</v>
      </c>
      <c r="G282" s="4">
        <v>75000</v>
      </c>
      <c r="H282" s="4">
        <f t="shared" si="4"/>
        <v>75000</v>
      </c>
      <c r="I282">
        <v>0</v>
      </c>
      <c r="J282">
        <v>0</v>
      </c>
      <c r="K282">
        <v>0</v>
      </c>
      <c r="L282">
        <v>0</v>
      </c>
      <c r="M282">
        <v>1</v>
      </c>
    </row>
    <row r="283" spans="1:13" x14ac:dyDescent="0.25">
      <c r="A283" t="s">
        <v>0</v>
      </c>
      <c r="B283" s="5">
        <v>3.4</v>
      </c>
      <c r="C283" t="s">
        <v>316</v>
      </c>
      <c r="D283" t="s">
        <v>317</v>
      </c>
      <c r="E283" t="s">
        <v>308</v>
      </c>
      <c r="F283" s="4">
        <v>89000</v>
      </c>
      <c r="G283" s="4">
        <v>133000</v>
      </c>
      <c r="H283" s="4">
        <f t="shared" si="4"/>
        <v>111000</v>
      </c>
      <c r="I283">
        <v>0</v>
      </c>
      <c r="J283">
        <v>0</v>
      </c>
      <c r="K283">
        <v>0</v>
      </c>
      <c r="L283">
        <v>0</v>
      </c>
      <c r="M283">
        <v>1</v>
      </c>
    </row>
    <row r="284" spans="1:13" x14ac:dyDescent="0.25">
      <c r="A284" t="s">
        <v>318</v>
      </c>
      <c r="B284" s="5">
        <v>3.5</v>
      </c>
      <c r="C284" t="s">
        <v>319</v>
      </c>
      <c r="D284" t="s">
        <v>320</v>
      </c>
      <c r="E284" t="s">
        <v>308</v>
      </c>
      <c r="F284" s="4">
        <v>133000</v>
      </c>
      <c r="G284" s="4">
        <v>197000</v>
      </c>
      <c r="H284" s="4">
        <f t="shared" si="4"/>
        <v>165000</v>
      </c>
      <c r="I284">
        <v>0</v>
      </c>
      <c r="J284">
        <v>0</v>
      </c>
      <c r="K284">
        <v>0</v>
      </c>
      <c r="L284">
        <v>0</v>
      </c>
      <c r="M284">
        <v>1</v>
      </c>
    </row>
    <row r="285" spans="1:13" x14ac:dyDescent="0.25">
      <c r="A285" t="s">
        <v>321</v>
      </c>
      <c r="B285" s="5">
        <v>4.5</v>
      </c>
      <c r="C285" t="s">
        <v>322</v>
      </c>
      <c r="D285" t="s">
        <v>323</v>
      </c>
      <c r="E285" t="s">
        <v>324</v>
      </c>
      <c r="F285" s="4">
        <v>159000</v>
      </c>
      <c r="G285" s="4">
        <v>281000</v>
      </c>
      <c r="H285" s="4">
        <f t="shared" si="4"/>
        <v>220000</v>
      </c>
      <c r="I285">
        <v>0</v>
      </c>
      <c r="J285">
        <v>0</v>
      </c>
      <c r="K285">
        <v>0</v>
      </c>
      <c r="L285">
        <v>0</v>
      </c>
      <c r="M285">
        <v>1</v>
      </c>
    </row>
    <row r="286" spans="1:13" x14ac:dyDescent="0.25">
      <c r="A286" t="s">
        <v>325</v>
      </c>
      <c r="C286" t="s">
        <v>326</v>
      </c>
      <c r="D286" t="s">
        <v>323</v>
      </c>
      <c r="E286" t="s">
        <v>324</v>
      </c>
      <c r="F286" s="4">
        <v>141000</v>
      </c>
      <c r="G286" s="4">
        <v>239000</v>
      </c>
      <c r="H286" s="4">
        <f t="shared" si="4"/>
        <v>190000</v>
      </c>
      <c r="I286">
        <v>0</v>
      </c>
      <c r="J286">
        <v>0</v>
      </c>
      <c r="K286">
        <v>0</v>
      </c>
      <c r="L286">
        <v>0</v>
      </c>
      <c r="M286">
        <v>1</v>
      </c>
    </row>
    <row r="287" spans="1:13" x14ac:dyDescent="0.25">
      <c r="A287" t="s">
        <v>327</v>
      </c>
      <c r="B287" s="5">
        <v>3.5</v>
      </c>
      <c r="C287" t="s">
        <v>328</v>
      </c>
      <c r="D287" t="s">
        <v>323</v>
      </c>
      <c r="E287" t="s">
        <v>324</v>
      </c>
      <c r="F287" s="4">
        <v>121000</v>
      </c>
      <c r="G287" s="4">
        <v>169000</v>
      </c>
      <c r="H287" s="4">
        <f t="shared" si="4"/>
        <v>145000</v>
      </c>
      <c r="I287">
        <v>0</v>
      </c>
      <c r="J287">
        <v>0</v>
      </c>
      <c r="K287">
        <v>0</v>
      </c>
      <c r="L287">
        <v>0</v>
      </c>
      <c r="M287">
        <v>1</v>
      </c>
    </row>
    <row r="288" spans="1:13" x14ac:dyDescent="0.25">
      <c r="A288" t="s">
        <v>329</v>
      </c>
      <c r="B288" s="5">
        <v>3.9</v>
      </c>
      <c r="C288" t="s">
        <v>330</v>
      </c>
      <c r="D288" t="s">
        <v>323</v>
      </c>
      <c r="E288" t="s">
        <v>324</v>
      </c>
      <c r="F288" s="4">
        <v>112000</v>
      </c>
      <c r="G288" s="4">
        <v>172000</v>
      </c>
      <c r="H288" s="4">
        <f t="shared" si="4"/>
        <v>142000</v>
      </c>
      <c r="I288">
        <v>0</v>
      </c>
      <c r="J288">
        <v>0</v>
      </c>
      <c r="K288">
        <v>0</v>
      </c>
      <c r="L288">
        <v>0</v>
      </c>
      <c r="M288">
        <v>1</v>
      </c>
    </row>
    <row r="289" spans="1:13" x14ac:dyDescent="0.25">
      <c r="A289" t="s">
        <v>0</v>
      </c>
      <c r="B289" s="5">
        <v>4.0999999999999996</v>
      </c>
      <c r="C289" t="s">
        <v>331</v>
      </c>
      <c r="D289" t="s">
        <v>323</v>
      </c>
      <c r="E289" t="s">
        <v>324</v>
      </c>
      <c r="F289" s="4">
        <v>102000</v>
      </c>
      <c r="G289" s="4">
        <v>138000</v>
      </c>
      <c r="H289" s="4">
        <f t="shared" si="4"/>
        <v>120000</v>
      </c>
      <c r="I289">
        <v>0</v>
      </c>
      <c r="J289">
        <v>0</v>
      </c>
      <c r="K289">
        <v>0</v>
      </c>
      <c r="L289">
        <v>0</v>
      </c>
      <c r="M289">
        <v>1</v>
      </c>
    </row>
    <row r="290" spans="1:13" x14ac:dyDescent="0.25">
      <c r="A290" t="s">
        <v>332</v>
      </c>
      <c r="B290" s="5">
        <v>3.1</v>
      </c>
      <c r="C290" t="s">
        <v>333</v>
      </c>
      <c r="D290" t="s">
        <v>323</v>
      </c>
      <c r="E290" t="s">
        <v>324</v>
      </c>
      <c r="F290" s="4">
        <v>94000</v>
      </c>
      <c r="G290" s="4">
        <v>146000</v>
      </c>
      <c r="H290" s="4">
        <f t="shared" si="4"/>
        <v>120000</v>
      </c>
      <c r="I290">
        <v>0</v>
      </c>
      <c r="J290">
        <v>0</v>
      </c>
      <c r="K290">
        <v>0</v>
      </c>
      <c r="L290">
        <v>0</v>
      </c>
      <c r="M290">
        <v>1</v>
      </c>
    </row>
    <row r="291" spans="1:13" x14ac:dyDescent="0.25">
      <c r="A291" t="s">
        <v>334</v>
      </c>
      <c r="B291" s="5">
        <v>3.7</v>
      </c>
      <c r="C291" t="s">
        <v>335</v>
      </c>
      <c r="D291" t="s">
        <v>323</v>
      </c>
      <c r="E291" t="s">
        <v>324</v>
      </c>
      <c r="F291" s="4">
        <v>93000</v>
      </c>
      <c r="G291" s="4">
        <v>135000</v>
      </c>
      <c r="H291" s="4">
        <f t="shared" si="4"/>
        <v>114000</v>
      </c>
      <c r="I291">
        <v>0</v>
      </c>
      <c r="J291">
        <v>0</v>
      </c>
      <c r="K291">
        <v>0</v>
      </c>
      <c r="L291">
        <v>0</v>
      </c>
      <c r="M291">
        <v>1</v>
      </c>
    </row>
    <row r="292" spans="1:13" x14ac:dyDescent="0.25">
      <c r="A292" t="s">
        <v>0</v>
      </c>
      <c r="B292" s="5">
        <v>4.0999999999999996</v>
      </c>
      <c r="C292" t="s">
        <v>336</v>
      </c>
      <c r="D292" t="s">
        <v>323</v>
      </c>
      <c r="E292" t="s">
        <v>324</v>
      </c>
      <c r="F292" s="4">
        <v>89000</v>
      </c>
      <c r="G292" s="4">
        <v>123000</v>
      </c>
      <c r="H292" s="4">
        <f t="shared" si="4"/>
        <v>106000</v>
      </c>
      <c r="I292">
        <v>0</v>
      </c>
      <c r="J292">
        <v>0</v>
      </c>
      <c r="K292">
        <v>0</v>
      </c>
      <c r="L292">
        <v>0</v>
      </c>
      <c r="M292">
        <v>1</v>
      </c>
    </row>
    <row r="293" spans="1:13" x14ac:dyDescent="0.25">
      <c r="A293" t="s">
        <v>0</v>
      </c>
      <c r="B293" s="5">
        <v>3.9</v>
      </c>
      <c r="C293" t="s">
        <v>337</v>
      </c>
      <c r="D293" t="s">
        <v>323</v>
      </c>
      <c r="E293" t="s">
        <v>324</v>
      </c>
      <c r="F293" s="4">
        <v>89000</v>
      </c>
      <c r="G293" s="4">
        <v>133000</v>
      </c>
      <c r="H293" s="4">
        <f t="shared" si="4"/>
        <v>111000</v>
      </c>
      <c r="I293">
        <v>1</v>
      </c>
      <c r="J293">
        <v>1</v>
      </c>
      <c r="K293">
        <v>0</v>
      </c>
      <c r="L293">
        <v>0</v>
      </c>
      <c r="M293">
        <v>1</v>
      </c>
    </row>
    <row r="294" spans="1:13" x14ac:dyDescent="0.25">
      <c r="A294" t="s">
        <v>266</v>
      </c>
      <c r="B294" s="5">
        <v>4.3</v>
      </c>
      <c r="C294" t="s">
        <v>338</v>
      </c>
      <c r="D294" t="s">
        <v>323</v>
      </c>
      <c r="E294" t="s">
        <v>324</v>
      </c>
      <c r="F294" s="4">
        <v>88000</v>
      </c>
      <c r="G294" s="4">
        <v>129000</v>
      </c>
      <c r="H294" s="4">
        <f t="shared" si="4"/>
        <v>108500</v>
      </c>
      <c r="I294">
        <v>0</v>
      </c>
      <c r="J294">
        <v>0</v>
      </c>
      <c r="K294">
        <v>0</v>
      </c>
      <c r="L294">
        <v>0</v>
      </c>
      <c r="M294">
        <v>1</v>
      </c>
    </row>
    <row r="295" spans="1:13" x14ac:dyDescent="0.25">
      <c r="A295" t="s">
        <v>0</v>
      </c>
      <c r="B295" s="5">
        <v>4.2</v>
      </c>
      <c r="C295" t="s">
        <v>339</v>
      </c>
      <c r="D295" t="s">
        <v>323</v>
      </c>
      <c r="E295" t="s">
        <v>324</v>
      </c>
      <c r="F295" s="4">
        <v>79000</v>
      </c>
      <c r="G295" s="4">
        <v>122000</v>
      </c>
      <c r="H295" s="4">
        <f t="shared" si="4"/>
        <v>100500</v>
      </c>
      <c r="I295">
        <v>1</v>
      </c>
      <c r="J295">
        <v>1</v>
      </c>
      <c r="K295">
        <v>0</v>
      </c>
      <c r="L295">
        <v>1</v>
      </c>
      <c r="M295">
        <v>1</v>
      </c>
    </row>
    <row r="296" spans="1:13" x14ac:dyDescent="0.25">
      <c r="A296" t="s">
        <v>340</v>
      </c>
      <c r="B296" s="5">
        <v>4</v>
      </c>
      <c r="C296" t="s">
        <v>341</v>
      </c>
      <c r="D296" t="s">
        <v>323</v>
      </c>
      <c r="E296" t="s">
        <v>324</v>
      </c>
      <c r="F296" s="4">
        <v>79000</v>
      </c>
      <c r="G296" s="4">
        <v>148000</v>
      </c>
      <c r="H296" s="4">
        <f t="shared" si="4"/>
        <v>113500</v>
      </c>
      <c r="I296">
        <v>0</v>
      </c>
      <c r="J296">
        <v>0</v>
      </c>
      <c r="K296">
        <v>0</v>
      </c>
      <c r="L296">
        <v>0</v>
      </c>
      <c r="M296">
        <v>1</v>
      </c>
    </row>
    <row r="297" spans="1:13" x14ac:dyDescent="0.25">
      <c r="A297" t="s">
        <v>342</v>
      </c>
      <c r="B297" s="5">
        <v>3.8</v>
      </c>
      <c r="C297" t="s">
        <v>343</v>
      </c>
      <c r="D297" t="s">
        <v>323</v>
      </c>
      <c r="E297" t="s">
        <v>324</v>
      </c>
      <c r="F297" s="4">
        <v>53000</v>
      </c>
      <c r="G297" s="4">
        <v>96000</v>
      </c>
      <c r="H297" s="4">
        <f t="shared" si="4"/>
        <v>74500</v>
      </c>
      <c r="I297">
        <v>0</v>
      </c>
      <c r="J297">
        <v>0</v>
      </c>
      <c r="K297">
        <v>0</v>
      </c>
      <c r="L297">
        <v>0</v>
      </c>
      <c r="M297">
        <v>1</v>
      </c>
    </row>
    <row r="298" spans="1:13" x14ac:dyDescent="0.25">
      <c r="A298" t="s">
        <v>0</v>
      </c>
      <c r="B298" s="5">
        <v>4.0999999999999996</v>
      </c>
      <c r="C298" t="s">
        <v>344</v>
      </c>
      <c r="D298" t="s">
        <v>323</v>
      </c>
      <c r="E298" t="s">
        <v>324</v>
      </c>
      <c r="F298" s="4">
        <v>53000</v>
      </c>
      <c r="G298" s="4">
        <v>84000</v>
      </c>
      <c r="H298" s="4">
        <f t="shared" si="4"/>
        <v>68500</v>
      </c>
      <c r="I298">
        <v>0</v>
      </c>
      <c r="J298">
        <v>0</v>
      </c>
      <c r="K298">
        <v>0</v>
      </c>
      <c r="L298">
        <v>0</v>
      </c>
      <c r="M298">
        <v>1</v>
      </c>
    </row>
    <row r="299" spans="1:13" x14ac:dyDescent="0.25">
      <c r="A299" t="s">
        <v>345</v>
      </c>
      <c r="B299" s="5">
        <v>3.9</v>
      </c>
      <c r="C299" t="s">
        <v>346</v>
      </c>
      <c r="D299" t="s">
        <v>323</v>
      </c>
      <c r="E299" t="s">
        <v>324</v>
      </c>
      <c r="F299" s="4">
        <v>53000</v>
      </c>
      <c r="G299" s="4">
        <v>100000</v>
      </c>
      <c r="H299" s="4">
        <f t="shared" si="4"/>
        <v>76500</v>
      </c>
      <c r="I299">
        <v>0</v>
      </c>
      <c r="J299">
        <v>0</v>
      </c>
      <c r="K299">
        <v>0</v>
      </c>
      <c r="L299">
        <v>0</v>
      </c>
      <c r="M299">
        <v>1</v>
      </c>
    </row>
    <row r="300" spans="1:13" x14ac:dyDescent="0.25">
      <c r="A300" t="s">
        <v>347</v>
      </c>
      <c r="B300" s="5">
        <v>4.0999999999999996</v>
      </c>
      <c r="C300" t="s">
        <v>348</v>
      </c>
      <c r="D300" t="s">
        <v>349</v>
      </c>
      <c r="E300" t="s">
        <v>350</v>
      </c>
      <c r="F300" s="4">
        <v>85000</v>
      </c>
      <c r="G300" s="4">
        <v>115000</v>
      </c>
      <c r="H300" s="4">
        <f t="shared" si="4"/>
        <v>100000</v>
      </c>
      <c r="I300">
        <v>0</v>
      </c>
      <c r="J300">
        <v>0</v>
      </c>
      <c r="K300">
        <v>0</v>
      </c>
      <c r="L300">
        <v>0</v>
      </c>
      <c r="M300">
        <v>1</v>
      </c>
    </row>
    <row r="301" spans="1:13" x14ac:dyDescent="0.25">
      <c r="A301" t="s">
        <v>347</v>
      </c>
      <c r="B301" s="5">
        <v>4.0999999999999996</v>
      </c>
      <c r="C301" t="s">
        <v>348</v>
      </c>
      <c r="D301" t="s">
        <v>349</v>
      </c>
      <c r="E301" t="s">
        <v>350</v>
      </c>
      <c r="F301" s="4">
        <v>85000</v>
      </c>
      <c r="G301" s="4">
        <v>115000</v>
      </c>
      <c r="H301" s="4">
        <f t="shared" si="4"/>
        <v>100000</v>
      </c>
      <c r="I301">
        <v>0</v>
      </c>
      <c r="J301">
        <v>0</v>
      </c>
      <c r="K301">
        <v>0</v>
      </c>
      <c r="L301">
        <v>0</v>
      </c>
      <c r="M301">
        <v>1</v>
      </c>
    </row>
    <row r="302" spans="1:13" x14ac:dyDescent="0.25">
      <c r="A302" t="s">
        <v>347</v>
      </c>
      <c r="B302" s="5">
        <v>4.0999999999999996</v>
      </c>
      <c r="C302" t="s">
        <v>348</v>
      </c>
      <c r="D302" t="s">
        <v>349</v>
      </c>
      <c r="E302" t="s">
        <v>350</v>
      </c>
      <c r="F302" s="4">
        <v>85000</v>
      </c>
      <c r="G302" s="4">
        <v>115000</v>
      </c>
      <c r="H302" s="4">
        <f t="shared" si="4"/>
        <v>100000</v>
      </c>
      <c r="I302">
        <v>0</v>
      </c>
      <c r="J302">
        <v>0</v>
      </c>
      <c r="K302">
        <v>0</v>
      </c>
      <c r="L302">
        <v>0</v>
      </c>
      <c r="M302">
        <v>1</v>
      </c>
    </row>
    <row r="303" spans="1:13" x14ac:dyDescent="0.25">
      <c r="A303" t="s">
        <v>351</v>
      </c>
      <c r="B303" s="5">
        <v>3.8</v>
      </c>
      <c r="C303" t="s">
        <v>352</v>
      </c>
      <c r="D303" t="s">
        <v>353</v>
      </c>
      <c r="E303" t="s">
        <v>350</v>
      </c>
      <c r="F303" s="4">
        <v>74000</v>
      </c>
      <c r="G303" s="4">
        <v>100000</v>
      </c>
      <c r="H303" s="4">
        <f t="shared" si="4"/>
        <v>87000</v>
      </c>
      <c r="I303">
        <v>0</v>
      </c>
      <c r="J303">
        <v>0</v>
      </c>
      <c r="K303">
        <v>0</v>
      </c>
      <c r="L303">
        <v>0</v>
      </c>
      <c r="M303">
        <v>1</v>
      </c>
    </row>
    <row r="304" spans="1:13" x14ac:dyDescent="0.25">
      <c r="A304" t="s">
        <v>354</v>
      </c>
      <c r="B304" s="5">
        <v>4</v>
      </c>
      <c r="C304" t="s">
        <v>355</v>
      </c>
      <c r="D304" t="s">
        <v>356</v>
      </c>
      <c r="E304" t="s">
        <v>350</v>
      </c>
      <c r="F304" s="4">
        <v>113000</v>
      </c>
      <c r="G304" s="4">
        <v>152000</v>
      </c>
      <c r="H304" s="4">
        <f t="shared" si="4"/>
        <v>132500</v>
      </c>
      <c r="I304">
        <v>0</v>
      </c>
      <c r="J304">
        <v>0</v>
      </c>
      <c r="K304">
        <v>0</v>
      </c>
      <c r="L304">
        <v>0</v>
      </c>
      <c r="M304">
        <v>1</v>
      </c>
    </row>
    <row r="305" spans="1:13" x14ac:dyDescent="0.25">
      <c r="A305" t="s">
        <v>145</v>
      </c>
      <c r="B305" s="5">
        <v>3.4</v>
      </c>
      <c r="C305" t="s">
        <v>357</v>
      </c>
      <c r="D305" t="s">
        <v>356</v>
      </c>
      <c r="E305" t="s">
        <v>350</v>
      </c>
      <c r="F305" s="4">
        <v>89000</v>
      </c>
      <c r="G305" s="4">
        <v>122000</v>
      </c>
      <c r="H305" s="4">
        <f t="shared" si="4"/>
        <v>105500</v>
      </c>
      <c r="I305">
        <v>0</v>
      </c>
      <c r="J305">
        <v>0</v>
      </c>
      <c r="K305">
        <v>0</v>
      </c>
      <c r="L305">
        <v>0</v>
      </c>
      <c r="M305">
        <v>1</v>
      </c>
    </row>
    <row r="306" spans="1:13" x14ac:dyDescent="0.25">
      <c r="A306" t="s">
        <v>358</v>
      </c>
      <c r="B306" s="5">
        <v>3.5</v>
      </c>
      <c r="C306" t="s">
        <v>359</v>
      </c>
      <c r="D306" t="s">
        <v>360</v>
      </c>
      <c r="E306" t="s">
        <v>361</v>
      </c>
      <c r="F306" s="4">
        <v>90000</v>
      </c>
      <c r="G306" s="4">
        <v>110000</v>
      </c>
      <c r="H306" s="4">
        <f t="shared" si="4"/>
        <v>100000</v>
      </c>
      <c r="I306">
        <v>0</v>
      </c>
      <c r="J306">
        <v>0</v>
      </c>
      <c r="K306">
        <v>0</v>
      </c>
      <c r="L306">
        <v>0</v>
      </c>
      <c r="M306">
        <v>1</v>
      </c>
    </row>
    <row r="307" spans="1:13" x14ac:dyDescent="0.25">
      <c r="A307" t="s">
        <v>362</v>
      </c>
      <c r="C307" t="s">
        <v>363</v>
      </c>
      <c r="D307" t="s">
        <v>360</v>
      </c>
      <c r="E307" t="s">
        <v>361</v>
      </c>
      <c r="F307" s="4">
        <v>76000</v>
      </c>
      <c r="G307" s="4">
        <v>120000</v>
      </c>
      <c r="H307" s="4">
        <f t="shared" si="4"/>
        <v>98000</v>
      </c>
      <c r="I307">
        <v>0</v>
      </c>
      <c r="J307">
        <v>0</v>
      </c>
      <c r="K307">
        <v>0</v>
      </c>
      <c r="L307">
        <v>0</v>
      </c>
      <c r="M307">
        <v>1</v>
      </c>
    </row>
    <row r="308" spans="1:13" x14ac:dyDescent="0.25">
      <c r="A308" t="s">
        <v>0</v>
      </c>
      <c r="C308" t="s">
        <v>364</v>
      </c>
      <c r="D308" t="s">
        <v>360</v>
      </c>
      <c r="E308" t="s">
        <v>361</v>
      </c>
      <c r="F308" s="4">
        <v>72000</v>
      </c>
      <c r="G308" s="4">
        <v>114000</v>
      </c>
      <c r="H308" s="4">
        <f t="shared" si="4"/>
        <v>93000</v>
      </c>
      <c r="I308">
        <v>0</v>
      </c>
      <c r="J308">
        <v>0</v>
      </c>
      <c r="K308">
        <v>0</v>
      </c>
      <c r="L308">
        <v>0</v>
      </c>
      <c r="M308">
        <v>1</v>
      </c>
    </row>
    <row r="309" spans="1:13" x14ac:dyDescent="0.25">
      <c r="A309" t="s">
        <v>365</v>
      </c>
      <c r="B309" s="5">
        <v>3.6</v>
      </c>
      <c r="C309" t="s">
        <v>366</v>
      </c>
      <c r="D309" t="s">
        <v>367</v>
      </c>
      <c r="E309" t="s">
        <v>361</v>
      </c>
      <c r="F309" s="4">
        <v>145000</v>
      </c>
      <c r="G309" s="4">
        <v>155000</v>
      </c>
      <c r="H309" s="4">
        <f t="shared" si="4"/>
        <v>150000</v>
      </c>
      <c r="I309">
        <v>0</v>
      </c>
      <c r="J309">
        <v>0</v>
      </c>
      <c r="K309">
        <v>0</v>
      </c>
      <c r="L309">
        <v>0</v>
      </c>
      <c r="M309">
        <v>1</v>
      </c>
    </row>
    <row r="310" spans="1:13" x14ac:dyDescent="0.25">
      <c r="A310" t="s">
        <v>30</v>
      </c>
      <c r="B310" s="5">
        <v>4.9000000000000004</v>
      </c>
      <c r="C310" t="s">
        <v>368</v>
      </c>
      <c r="D310" t="s">
        <v>369</v>
      </c>
      <c r="E310" t="s">
        <v>361</v>
      </c>
      <c r="F310" s="4">
        <v>96000</v>
      </c>
      <c r="G310" s="4">
        <v>139000</v>
      </c>
      <c r="H310" s="4">
        <f t="shared" si="4"/>
        <v>117500</v>
      </c>
      <c r="I310">
        <v>1</v>
      </c>
      <c r="J310">
        <v>1</v>
      </c>
      <c r="K310">
        <v>0</v>
      </c>
      <c r="L310">
        <v>0</v>
      </c>
      <c r="M310">
        <v>1</v>
      </c>
    </row>
    <row r="311" spans="1:13" x14ac:dyDescent="0.25">
      <c r="A311" t="s">
        <v>370</v>
      </c>
      <c r="B311" s="5">
        <v>4.8</v>
      </c>
      <c r="C311" t="s">
        <v>273</v>
      </c>
      <c r="D311" t="s">
        <v>369</v>
      </c>
      <c r="E311" t="s">
        <v>361</v>
      </c>
      <c r="F311" s="4">
        <v>69000</v>
      </c>
      <c r="G311" s="4">
        <v>109000</v>
      </c>
      <c r="H311" s="4">
        <f t="shared" si="4"/>
        <v>89000</v>
      </c>
      <c r="I311">
        <v>0</v>
      </c>
      <c r="J311">
        <v>0</v>
      </c>
      <c r="K311">
        <v>0</v>
      </c>
      <c r="L311">
        <v>0</v>
      </c>
      <c r="M311">
        <v>1</v>
      </c>
    </row>
    <row r="312" spans="1:13" x14ac:dyDescent="0.25">
      <c r="A312" t="s">
        <v>22</v>
      </c>
      <c r="B312" s="5">
        <v>2.9</v>
      </c>
      <c r="C312" t="s">
        <v>371</v>
      </c>
      <c r="D312" t="s">
        <v>372</v>
      </c>
      <c r="E312" t="s">
        <v>361</v>
      </c>
      <c r="F312" s="4">
        <v>92000</v>
      </c>
      <c r="G312" s="4">
        <v>121000</v>
      </c>
      <c r="H312" s="4">
        <f t="shared" si="4"/>
        <v>106500</v>
      </c>
      <c r="I312">
        <v>0</v>
      </c>
      <c r="J312">
        <v>0</v>
      </c>
      <c r="K312">
        <v>0</v>
      </c>
      <c r="L312">
        <v>0</v>
      </c>
      <c r="M312">
        <v>1</v>
      </c>
    </row>
    <row r="313" spans="1:13" x14ac:dyDescent="0.25">
      <c r="A313" t="s">
        <v>30</v>
      </c>
      <c r="C313" t="s">
        <v>373</v>
      </c>
      <c r="D313" t="s">
        <v>374</v>
      </c>
      <c r="E313" t="s">
        <v>361</v>
      </c>
      <c r="F313" s="4">
        <v>118000</v>
      </c>
      <c r="G313" s="4">
        <v>158000</v>
      </c>
      <c r="H313" s="4">
        <f t="shared" si="4"/>
        <v>138000</v>
      </c>
      <c r="I313">
        <v>0</v>
      </c>
      <c r="J313">
        <v>0</v>
      </c>
      <c r="K313">
        <v>0</v>
      </c>
      <c r="L313">
        <v>0</v>
      </c>
      <c r="M313">
        <v>1</v>
      </c>
    </row>
    <row r="314" spans="1:13" x14ac:dyDescent="0.25">
      <c r="A314" t="s">
        <v>30</v>
      </c>
      <c r="B314" s="5">
        <v>3.9</v>
      </c>
      <c r="C314" t="s">
        <v>375</v>
      </c>
      <c r="D314" t="s">
        <v>374</v>
      </c>
      <c r="E314" t="s">
        <v>361</v>
      </c>
      <c r="F314" s="4">
        <v>118000</v>
      </c>
      <c r="G314" s="4">
        <v>158000</v>
      </c>
      <c r="H314" s="4">
        <f t="shared" si="4"/>
        <v>138000</v>
      </c>
      <c r="I314">
        <v>0</v>
      </c>
      <c r="J314">
        <v>0</v>
      </c>
      <c r="K314">
        <v>0</v>
      </c>
      <c r="L314">
        <v>0</v>
      </c>
      <c r="M314">
        <v>1</v>
      </c>
    </row>
    <row r="315" spans="1:13" x14ac:dyDescent="0.25">
      <c r="A315" t="s">
        <v>376</v>
      </c>
      <c r="B315" s="5">
        <v>3.6</v>
      </c>
      <c r="C315" t="s">
        <v>377</v>
      </c>
      <c r="D315" t="s">
        <v>378</v>
      </c>
      <c r="E315" t="s">
        <v>361</v>
      </c>
      <c r="F315" s="4">
        <v>73000</v>
      </c>
      <c r="G315" s="4">
        <v>104000</v>
      </c>
      <c r="H315" s="4">
        <f t="shared" si="4"/>
        <v>88500</v>
      </c>
      <c r="I315">
        <v>0</v>
      </c>
      <c r="J315">
        <v>1</v>
      </c>
      <c r="K315">
        <v>0</v>
      </c>
      <c r="L315">
        <v>1</v>
      </c>
      <c r="M315">
        <v>1</v>
      </c>
    </row>
    <row r="316" spans="1:13" x14ac:dyDescent="0.25">
      <c r="A316" t="s">
        <v>379</v>
      </c>
      <c r="B316" s="5">
        <v>4.3</v>
      </c>
      <c r="C316" t="s">
        <v>380</v>
      </c>
      <c r="D316" t="s">
        <v>381</v>
      </c>
      <c r="E316" t="s">
        <v>361</v>
      </c>
      <c r="F316" s="4">
        <v>104000</v>
      </c>
      <c r="G316" s="4">
        <v>178000</v>
      </c>
      <c r="H316" s="4">
        <f t="shared" si="4"/>
        <v>141000</v>
      </c>
      <c r="I316">
        <v>1</v>
      </c>
      <c r="J316">
        <v>1</v>
      </c>
      <c r="K316">
        <v>0</v>
      </c>
      <c r="L316">
        <v>0</v>
      </c>
      <c r="M316">
        <v>1</v>
      </c>
    </row>
    <row r="317" spans="1:13" x14ac:dyDescent="0.25">
      <c r="A317" t="s">
        <v>382</v>
      </c>
      <c r="B317" s="5">
        <v>4</v>
      </c>
      <c r="C317" t="s">
        <v>383</v>
      </c>
      <c r="D317" t="s">
        <v>381</v>
      </c>
      <c r="E317" t="s">
        <v>361</v>
      </c>
      <c r="F317" s="4">
        <v>70000</v>
      </c>
      <c r="G317" s="4">
        <v>80000</v>
      </c>
      <c r="H317" s="4">
        <f t="shared" si="4"/>
        <v>75000</v>
      </c>
      <c r="I317">
        <v>0</v>
      </c>
      <c r="J317">
        <v>0</v>
      </c>
      <c r="K317">
        <v>0</v>
      </c>
      <c r="L317">
        <v>0</v>
      </c>
      <c r="M317">
        <v>1</v>
      </c>
    </row>
    <row r="318" spans="1:13" x14ac:dyDescent="0.25">
      <c r="A318" t="s">
        <v>384</v>
      </c>
      <c r="C318" t="s">
        <v>385</v>
      </c>
      <c r="D318" t="s">
        <v>386</v>
      </c>
      <c r="E318" t="s">
        <v>361</v>
      </c>
      <c r="F318" s="4">
        <v>103000</v>
      </c>
      <c r="G318" s="4">
        <v>159000</v>
      </c>
      <c r="H318" s="4">
        <f t="shared" si="4"/>
        <v>131000</v>
      </c>
      <c r="I318">
        <v>0</v>
      </c>
      <c r="J318">
        <v>0</v>
      </c>
      <c r="K318">
        <v>0</v>
      </c>
      <c r="L318">
        <v>0</v>
      </c>
      <c r="M318">
        <v>1</v>
      </c>
    </row>
    <row r="319" spans="1:13" x14ac:dyDescent="0.25">
      <c r="A319" t="s">
        <v>387</v>
      </c>
      <c r="B319" s="5">
        <v>3.8</v>
      </c>
      <c r="C319" t="s">
        <v>388</v>
      </c>
      <c r="D319" t="s">
        <v>389</v>
      </c>
      <c r="E319" t="s">
        <v>361</v>
      </c>
      <c r="F319" s="4">
        <v>116000</v>
      </c>
      <c r="G319" s="4">
        <v>163000</v>
      </c>
      <c r="H319" s="4">
        <f t="shared" si="4"/>
        <v>139500</v>
      </c>
      <c r="I319">
        <v>0</v>
      </c>
      <c r="J319">
        <v>0</v>
      </c>
      <c r="K319">
        <v>0</v>
      </c>
      <c r="L319">
        <v>0</v>
      </c>
      <c r="M319">
        <v>1</v>
      </c>
    </row>
    <row r="320" spans="1:13" x14ac:dyDescent="0.25">
      <c r="A320" t="s">
        <v>390</v>
      </c>
      <c r="B320" s="5">
        <v>3.8</v>
      </c>
      <c r="C320" t="s">
        <v>388</v>
      </c>
      <c r="D320" t="s">
        <v>389</v>
      </c>
      <c r="E320" t="s">
        <v>361</v>
      </c>
      <c r="F320" s="4">
        <v>109000</v>
      </c>
      <c r="G320" s="4">
        <v>144000</v>
      </c>
      <c r="H320" s="4">
        <f t="shared" si="4"/>
        <v>126500</v>
      </c>
      <c r="I320">
        <v>0</v>
      </c>
      <c r="J320">
        <v>1</v>
      </c>
      <c r="K320">
        <v>0</v>
      </c>
      <c r="L320">
        <v>0</v>
      </c>
      <c r="M320">
        <v>1</v>
      </c>
    </row>
    <row r="321" spans="1:13" x14ac:dyDescent="0.25">
      <c r="A321" t="s">
        <v>391</v>
      </c>
      <c r="B321" s="5">
        <v>3.6</v>
      </c>
      <c r="C321" t="s">
        <v>392</v>
      </c>
      <c r="D321" t="s">
        <v>393</v>
      </c>
      <c r="E321" t="s">
        <v>361</v>
      </c>
      <c r="F321" s="4">
        <v>70000</v>
      </c>
      <c r="G321" s="4">
        <v>106000</v>
      </c>
      <c r="H321" s="4">
        <f t="shared" si="4"/>
        <v>88000</v>
      </c>
      <c r="I321">
        <v>0</v>
      </c>
      <c r="J321">
        <v>0</v>
      </c>
      <c r="K321">
        <v>0</v>
      </c>
      <c r="L321">
        <v>0</v>
      </c>
      <c r="M321">
        <v>1</v>
      </c>
    </row>
    <row r="322" spans="1:13" x14ac:dyDescent="0.25">
      <c r="A322" t="s">
        <v>394</v>
      </c>
      <c r="B322" s="5">
        <v>3.5</v>
      </c>
      <c r="C322" t="s">
        <v>395</v>
      </c>
      <c r="D322" t="s">
        <v>396</v>
      </c>
      <c r="E322" t="s">
        <v>361</v>
      </c>
      <c r="F322" s="4">
        <v>82000</v>
      </c>
      <c r="G322" s="4">
        <v>123000</v>
      </c>
      <c r="H322" s="4">
        <f t="shared" si="4"/>
        <v>102500</v>
      </c>
      <c r="I322">
        <v>0</v>
      </c>
      <c r="J322">
        <v>0</v>
      </c>
      <c r="K322">
        <v>0</v>
      </c>
      <c r="L322">
        <v>0</v>
      </c>
      <c r="M322">
        <v>1</v>
      </c>
    </row>
    <row r="323" spans="1:13" x14ac:dyDescent="0.25">
      <c r="A323" t="s">
        <v>0</v>
      </c>
      <c r="B323" s="5">
        <v>4.5</v>
      </c>
      <c r="C323" t="s">
        <v>397</v>
      </c>
      <c r="D323" t="s">
        <v>398</v>
      </c>
      <c r="E323" t="s">
        <v>361</v>
      </c>
      <c r="F323" s="4">
        <v>85000</v>
      </c>
      <c r="G323" s="4">
        <v>130000</v>
      </c>
      <c r="H323" s="4">
        <f t="shared" ref="H323:H386" si="5">(F323+G323)/2</f>
        <v>107500</v>
      </c>
      <c r="I323">
        <v>0</v>
      </c>
      <c r="J323">
        <v>0</v>
      </c>
      <c r="K323">
        <v>0</v>
      </c>
      <c r="L323">
        <v>0</v>
      </c>
      <c r="M323">
        <v>1</v>
      </c>
    </row>
    <row r="324" spans="1:13" x14ac:dyDescent="0.25">
      <c r="A324" t="s">
        <v>0</v>
      </c>
      <c r="B324" s="5">
        <v>3.9</v>
      </c>
      <c r="C324" t="s">
        <v>399</v>
      </c>
      <c r="D324" t="s">
        <v>400</v>
      </c>
      <c r="E324" t="s">
        <v>361</v>
      </c>
      <c r="F324" s="4">
        <v>88000</v>
      </c>
      <c r="G324" s="4">
        <v>121000</v>
      </c>
      <c r="H324" s="4">
        <f t="shared" si="5"/>
        <v>104500</v>
      </c>
      <c r="I324">
        <v>0</v>
      </c>
      <c r="J324">
        <v>0</v>
      </c>
      <c r="K324">
        <v>0</v>
      </c>
      <c r="L324">
        <v>0</v>
      </c>
      <c r="M324">
        <v>1</v>
      </c>
    </row>
    <row r="325" spans="1:13" x14ac:dyDescent="0.25">
      <c r="A325" t="s">
        <v>401</v>
      </c>
      <c r="B325" s="5">
        <v>3.9</v>
      </c>
      <c r="C325" t="s">
        <v>346</v>
      </c>
      <c r="D325" t="s">
        <v>402</v>
      </c>
      <c r="E325" t="s">
        <v>403</v>
      </c>
      <c r="F325" s="4">
        <v>193440</v>
      </c>
      <c r="G325" s="4">
        <v>251680</v>
      </c>
      <c r="H325" s="4">
        <f t="shared" si="5"/>
        <v>222560</v>
      </c>
      <c r="I325">
        <v>0</v>
      </c>
      <c r="J325">
        <v>0</v>
      </c>
      <c r="K325">
        <v>0</v>
      </c>
      <c r="L325">
        <v>0</v>
      </c>
      <c r="M325">
        <v>1</v>
      </c>
    </row>
    <row r="326" spans="1:13" x14ac:dyDescent="0.25">
      <c r="A326" t="s">
        <v>404</v>
      </c>
      <c r="B326" s="5">
        <v>3.8</v>
      </c>
      <c r="C326" t="s">
        <v>405</v>
      </c>
      <c r="D326" t="s">
        <v>402</v>
      </c>
      <c r="E326" t="s">
        <v>403</v>
      </c>
      <c r="F326" s="4">
        <v>120000</v>
      </c>
      <c r="G326" s="4">
        <v>240000</v>
      </c>
      <c r="H326" s="4">
        <f t="shared" si="5"/>
        <v>180000</v>
      </c>
      <c r="I326">
        <v>0</v>
      </c>
      <c r="J326">
        <v>0</v>
      </c>
      <c r="K326">
        <v>0</v>
      </c>
      <c r="L326">
        <v>0</v>
      </c>
      <c r="M326">
        <v>1</v>
      </c>
    </row>
    <row r="327" spans="1:13" x14ac:dyDescent="0.25">
      <c r="A327" t="s">
        <v>406</v>
      </c>
      <c r="B327" s="5">
        <v>3.7</v>
      </c>
      <c r="C327" t="s">
        <v>407</v>
      </c>
      <c r="D327" t="s">
        <v>402</v>
      </c>
      <c r="E327" t="s">
        <v>403</v>
      </c>
      <c r="F327" s="4">
        <v>99000</v>
      </c>
      <c r="G327" s="4">
        <v>152000</v>
      </c>
      <c r="H327" s="4">
        <f t="shared" si="5"/>
        <v>125500</v>
      </c>
      <c r="I327">
        <v>0</v>
      </c>
      <c r="J327">
        <v>0</v>
      </c>
      <c r="K327">
        <v>0</v>
      </c>
      <c r="L327">
        <v>0</v>
      </c>
      <c r="M327">
        <v>1</v>
      </c>
    </row>
    <row r="328" spans="1:13" x14ac:dyDescent="0.25">
      <c r="A328" t="s">
        <v>408</v>
      </c>
      <c r="B328" s="5">
        <v>3.8</v>
      </c>
      <c r="C328" t="s">
        <v>405</v>
      </c>
      <c r="D328" t="s">
        <v>402</v>
      </c>
      <c r="E328" t="s">
        <v>403</v>
      </c>
      <c r="F328" s="4">
        <v>92000</v>
      </c>
      <c r="G328" s="4">
        <v>128000</v>
      </c>
      <c r="H328" s="4">
        <f t="shared" si="5"/>
        <v>110000</v>
      </c>
      <c r="I328">
        <v>0</v>
      </c>
      <c r="J328">
        <v>0</v>
      </c>
      <c r="K328">
        <v>0</v>
      </c>
      <c r="L328">
        <v>0</v>
      </c>
      <c r="M328">
        <v>1</v>
      </c>
    </row>
    <row r="329" spans="1:13" x14ac:dyDescent="0.25">
      <c r="A329" t="s">
        <v>0</v>
      </c>
      <c r="B329" s="5">
        <v>2.4</v>
      </c>
      <c r="C329" t="s">
        <v>409</v>
      </c>
      <c r="D329" t="s">
        <v>402</v>
      </c>
      <c r="E329" t="s">
        <v>403</v>
      </c>
      <c r="F329" s="4">
        <v>90000</v>
      </c>
      <c r="G329" s="4">
        <v>126000</v>
      </c>
      <c r="H329" s="4">
        <f t="shared" si="5"/>
        <v>108000</v>
      </c>
      <c r="I329">
        <v>0</v>
      </c>
      <c r="J329">
        <v>0</v>
      </c>
      <c r="K329">
        <v>0</v>
      </c>
      <c r="L329">
        <v>0</v>
      </c>
      <c r="M329">
        <v>1</v>
      </c>
    </row>
    <row r="330" spans="1:13" x14ac:dyDescent="0.25">
      <c r="A330" t="s">
        <v>410</v>
      </c>
      <c r="B330" s="5">
        <v>3.7</v>
      </c>
      <c r="C330" t="s">
        <v>411</v>
      </c>
      <c r="D330" t="s">
        <v>402</v>
      </c>
      <c r="E330" t="s">
        <v>403</v>
      </c>
      <c r="F330" s="4">
        <v>88000</v>
      </c>
      <c r="G330" s="4">
        <v>122000</v>
      </c>
      <c r="H330" s="4">
        <f t="shared" si="5"/>
        <v>105000</v>
      </c>
      <c r="I330">
        <v>0</v>
      </c>
      <c r="J330">
        <v>0</v>
      </c>
      <c r="K330">
        <v>0</v>
      </c>
      <c r="L330">
        <v>0</v>
      </c>
      <c r="M330">
        <v>1</v>
      </c>
    </row>
    <row r="331" spans="1:13" x14ac:dyDescent="0.25">
      <c r="A331" t="s">
        <v>0</v>
      </c>
      <c r="B331" s="5">
        <v>3.8</v>
      </c>
      <c r="C331" t="s">
        <v>412</v>
      </c>
      <c r="D331" t="s">
        <v>402</v>
      </c>
      <c r="E331" t="s">
        <v>403</v>
      </c>
      <c r="F331" s="4">
        <v>81000</v>
      </c>
      <c r="G331" s="4">
        <v>112000</v>
      </c>
      <c r="H331" s="4">
        <f t="shared" si="5"/>
        <v>96500</v>
      </c>
      <c r="I331">
        <v>0</v>
      </c>
      <c r="J331">
        <v>0</v>
      </c>
      <c r="K331">
        <v>0</v>
      </c>
      <c r="L331">
        <v>0</v>
      </c>
      <c r="M331">
        <v>1</v>
      </c>
    </row>
    <row r="332" spans="1:13" x14ac:dyDescent="0.25">
      <c r="A332" t="s">
        <v>413</v>
      </c>
      <c r="B332" s="5">
        <v>3.8</v>
      </c>
      <c r="C332" t="s">
        <v>405</v>
      </c>
      <c r="D332" t="s">
        <v>402</v>
      </c>
      <c r="E332" t="s">
        <v>403</v>
      </c>
      <c r="F332" s="4">
        <v>75000</v>
      </c>
      <c r="G332" s="4">
        <v>103000</v>
      </c>
      <c r="H332" s="4">
        <f t="shared" si="5"/>
        <v>89000</v>
      </c>
      <c r="I332">
        <v>0</v>
      </c>
      <c r="J332">
        <v>0</v>
      </c>
      <c r="K332">
        <v>0</v>
      </c>
      <c r="L332">
        <v>0</v>
      </c>
      <c r="M332">
        <v>1</v>
      </c>
    </row>
    <row r="333" spans="1:13" x14ac:dyDescent="0.25">
      <c r="A333" t="s">
        <v>414</v>
      </c>
      <c r="B333" s="5">
        <v>3.9</v>
      </c>
      <c r="C333" t="s">
        <v>346</v>
      </c>
      <c r="D333" t="s">
        <v>402</v>
      </c>
      <c r="E333" t="s">
        <v>403</v>
      </c>
      <c r="F333" s="4">
        <v>71000</v>
      </c>
      <c r="G333" s="4">
        <v>133000</v>
      </c>
      <c r="H333" s="4">
        <f t="shared" si="5"/>
        <v>102000</v>
      </c>
      <c r="I333">
        <v>0</v>
      </c>
      <c r="J333">
        <v>0</v>
      </c>
      <c r="K333">
        <v>0</v>
      </c>
      <c r="L333">
        <v>0</v>
      </c>
      <c r="M333">
        <v>1</v>
      </c>
    </row>
    <row r="334" spans="1:13" x14ac:dyDescent="0.25">
      <c r="A334" t="s">
        <v>415</v>
      </c>
      <c r="B334" s="5">
        <v>4</v>
      </c>
      <c r="C334" t="s">
        <v>416</v>
      </c>
      <c r="D334" t="s">
        <v>402</v>
      </c>
      <c r="E334" t="s">
        <v>403</v>
      </c>
      <c r="F334" s="4">
        <v>45000</v>
      </c>
      <c r="G334" s="4">
        <v>176000</v>
      </c>
      <c r="H334" s="4">
        <f t="shared" si="5"/>
        <v>110500</v>
      </c>
      <c r="I334">
        <v>0</v>
      </c>
      <c r="J334">
        <v>0</v>
      </c>
      <c r="K334">
        <v>0</v>
      </c>
      <c r="L334">
        <v>0</v>
      </c>
      <c r="M334">
        <v>1</v>
      </c>
    </row>
    <row r="335" spans="1:13" x14ac:dyDescent="0.25">
      <c r="A335" t="s">
        <v>417</v>
      </c>
      <c r="B335" s="5">
        <v>3.9</v>
      </c>
      <c r="C335" t="s">
        <v>418</v>
      </c>
      <c r="D335" t="s">
        <v>419</v>
      </c>
      <c r="E335" t="s">
        <v>403</v>
      </c>
      <c r="F335" s="4">
        <v>96000</v>
      </c>
      <c r="G335" s="4">
        <v>151000</v>
      </c>
      <c r="H335" s="4">
        <f t="shared" si="5"/>
        <v>123500</v>
      </c>
      <c r="I335">
        <v>0</v>
      </c>
      <c r="J335">
        <v>0</v>
      </c>
      <c r="K335">
        <v>0</v>
      </c>
      <c r="L335">
        <v>0</v>
      </c>
      <c r="M335">
        <v>1</v>
      </c>
    </row>
    <row r="336" spans="1:13" x14ac:dyDescent="0.25">
      <c r="A336" t="s">
        <v>420</v>
      </c>
      <c r="B336" s="5">
        <v>4.0999999999999996</v>
      </c>
      <c r="C336" t="s">
        <v>421</v>
      </c>
      <c r="D336" t="s">
        <v>422</v>
      </c>
      <c r="E336" t="s">
        <v>403</v>
      </c>
      <c r="F336" s="4">
        <v>109000</v>
      </c>
      <c r="G336" s="4">
        <v>151000</v>
      </c>
      <c r="H336" s="4">
        <f t="shared" si="5"/>
        <v>130000</v>
      </c>
      <c r="I336">
        <v>0</v>
      </c>
      <c r="J336">
        <v>0</v>
      </c>
      <c r="K336">
        <v>0</v>
      </c>
      <c r="L336">
        <v>0</v>
      </c>
      <c r="M336">
        <v>1</v>
      </c>
    </row>
    <row r="337" spans="1:13" x14ac:dyDescent="0.25">
      <c r="A337" t="s">
        <v>0</v>
      </c>
      <c r="B337" s="5">
        <v>4</v>
      </c>
      <c r="C337" t="s">
        <v>423</v>
      </c>
      <c r="D337" t="s">
        <v>424</v>
      </c>
      <c r="E337" t="s">
        <v>403</v>
      </c>
      <c r="F337" s="4">
        <v>80000</v>
      </c>
      <c r="G337" s="4">
        <v>122000</v>
      </c>
      <c r="H337" s="4">
        <f t="shared" si="5"/>
        <v>101000</v>
      </c>
      <c r="I337">
        <v>0</v>
      </c>
      <c r="J337">
        <v>0</v>
      </c>
      <c r="K337">
        <v>0</v>
      </c>
      <c r="L337">
        <v>0</v>
      </c>
      <c r="M337">
        <v>1</v>
      </c>
    </row>
    <row r="338" spans="1:13" x14ac:dyDescent="0.25">
      <c r="A338" t="s">
        <v>0</v>
      </c>
      <c r="B338" s="5">
        <v>4.5999999999999996</v>
      </c>
      <c r="C338" t="s">
        <v>425</v>
      </c>
      <c r="D338" t="s">
        <v>426</v>
      </c>
      <c r="E338" t="s">
        <v>403</v>
      </c>
      <c r="F338" s="4">
        <v>125000</v>
      </c>
      <c r="G338" s="4">
        <v>129000</v>
      </c>
      <c r="H338" s="4">
        <f t="shared" si="5"/>
        <v>127000</v>
      </c>
      <c r="I338">
        <v>0</v>
      </c>
      <c r="J338">
        <v>0</v>
      </c>
      <c r="K338">
        <v>0</v>
      </c>
      <c r="L338">
        <v>0</v>
      </c>
      <c r="M338">
        <v>1</v>
      </c>
    </row>
    <row r="339" spans="1:13" x14ac:dyDescent="0.25">
      <c r="A339" t="s">
        <v>0</v>
      </c>
      <c r="B339" s="5">
        <v>3.5</v>
      </c>
      <c r="C339" t="s">
        <v>427</v>
      </c>
      <c r="D339" t="s">
        <v>428</v>
      </c>
      <c r="E339" t="s">
        <v>429</v>
      </c>
      <c r="F339" s="4">
        <v>88000</v>
      </c>
      <c r="G339" s="4">
        <v>129000</v>
      </c>
      <c r="H339" s="4">
        <f t="shared" si="5"/>
        <v>108500</v>
      </c>
      <c r="I339">
        <v>0</v>
      </c>
      <c r="J339">
        <v>0</v>
      </c>
      <c r="K339">
        <v>0</v>
      </c>
      <c r="L339">
        <v>0</v>
      </c>
      <c r="M339">
        <v>1</v>
      </c>
    </row>
    <row r="340" spans="1:13" x14ac:dyDescent="0.25">
      <c r="A340" t="s">
        <v>430</v>
      </c>
      <c r="B340" s="5">
        <v>4.5</v>
      </c>
      <c r="C340" t="s">
        <v>431</v>
      </c>
      <c r="D340" t="s">
        <v>432</v>
      </c>
      <c r="E340" t="s">
        <v>429</v>
      </c>
      <c r="F340" s="4">
        <v>82000</v>
      </c>
      <c r="G340" s="4">
        <v>123000</v>
      </c>
      <c r="H340" s="4">
        <f t="shared" si="5"/>
        <v>102500</v>
      </c>
      <c r="I340">
        <v>1</v>
      </c>
      <c r="J340">
        <v>1</v>
      </c>
      <c r="K340">
        <v>0</v>
      </c>
      <c r="L340">
        <v>0</v>
      </c>
      <c r="M340">
        <v>1</v>
      </c>
    </row>
    <row r="341" spans="1:13" x14ac:dyDescent="0.25">
      <c r="A341" t="s">
        <v>0</v>
      </c>
      <c r="B341" s="5">
        <v>3.9</v>
      </c>
      <c r="C341" t="s">
        <v>433</v>
      </c>
      <c r="D341" t="s">
        <v>434</v>
      </c>
      <c r="E341" t="s">
        <v>429</v>
      </c>
      <c r="F341" s="4">
        <v>94000</v>
      </c>
      <c r="G341" s="4">
        <v>132000</v>
      </c>
      <c r="H341" s="4">
        <f t="shared" si="5"/>
        <v>113000</v>
      </c>
      <c r="I341">
        <v>0</v>
      </c>
      <c r="J341">
        <v>0</v>
      </c>
      <c r="K341">
        <v>0</v>
      </c>
      <c r="L341">
        <v>0</v>
      </c>
      <c r="M341">
        <v>1</v>
      </c>
    </row>
    <row r="342" spans="1:13" x14ac:dyDescent="0.25">
      <c r="A342" t="s">
        <v>0</v>
      </c>
      <c r="B342" s="5">
        <v>3.9</v>
      </c>
      <c r="C342" t="s">
        <v>433</v>
      </c>
      <c r="D342" t="s">
        <v>434</v>
      </c>
      <c r="E342" t="s">
        <v>429</v>
      </c>
      <c r="F342" s="4">
        <v>94000</v>
      </c>
      <c r="G342" s="4">
        <v>132000</v>
      </c>
      <c r="H342" s="4">
        <f t="shared" si="5"/>
        <v>113000</v>
      </c>
      <c r="I342">
        <v>0</v>
      </c>
      <c r="J342">
        <v>0</v>
      </c>
      <c r="K342">
        <v>0</v>
      </c>
      <c r="L342">
        <v>0</v>
      </c>
      <c r="M342">
        <v>1</v>
      </c>
    </row>
    <row r="343" spans="1:13" x14ac:dyDescent="0.25">
      <c r="A343" t="s">
        <v>0</v>
      </c>
      <c r="B343" s="5">
        <v>3.9</v>
      </c>
      <c r="C343" t="s">
        <v>433</v>
      </c>
      <c r="D343" t="s">
        <v>434</v>
      </c>
      <c r="E343" t="s">
        <v>429</v>
      </c>
      <c r="F343" s="4">
        <v>94000</v>
      </c>
      <c r="G343" s="4">
        <v>132000</v>
      </c>
      <c r="H343" s="4">
        <f t="shared" si="5"/>
        <v>113000</v>
      </c>
      <c r="I343">
        <v>0</v>
      </c>
      <c r="J343">
        <v>0</v>
      </c>
      <c r="K343">
        <v>0</v>
      </c>
      <c r="L343">
        <v>0</v>
      </c>
      <c r="M343">
        <v>1</v>
      </c>
    </row>
    <row r="344" spans="1:13" x14ac:dyDescent="0.25">
      <c r="A344" t="s">
        <v>0</v>
      </c>
      <c r="B344" s="5">
        <v>3.9</v>
      </c>
      <c r="C344" t="s">
        <v>433</v>
      </c>
      <c r="D344" t="s">
        <v>434</v>
      </c>
      <c r="E344" t="s">
        <v>429</v>
      </c>
      <c r="F344" s="4">
        <v>94000</v>
      </c>
      <c r="G344" s="4">
        <v>132000</v>
      </c>
      <c r="H344" s="4">
        <f t="shared" si="5"/>
        <v>113000</v>
      </c>
      <c r="I344">
        <v>0</v>
      </c>
      <c r="J344">
        <v>0</v>
      </c>
      <c r="K344">
        <v>0</v>
      </c>
      <c r="L344">
        <v>0</v>
      </c>
      <c r="M344">
        <v>1</v>
      </c>
    </row>
    <row r="345" spans="1:13" x14ac:dyDescent="0.25">
      <c r="A345" t="s">
        <v>0</v>
      </c>
      <c r="B345" s="5">
        <v>3.9</v>
      </c>
      <c r="C345" t="s">
        <v>433</v>
      </c>
      <c r="D345" t="s">
        <v>434</v>
      </c>
      <c r="E345" t="s">
        <v>429</v>
      </c>
      <c r="F345" s="4">
        <v>94000</v>
      </c>
      <c r="G345" s="4">
        <v>132000</v>
      </c>
      <c r="H345" s="4">
        <f t="shared" si="5"/>
        <v>113000</v>
      </c>
      <c r="I345">
        <v>0</v>
      </c>
      <c r="J345">
        <v>0</v>
      </c>
      <c r="K345">
        <v>0</v>
      </c>
      <c r="L345">
        <v>0</v>
      </c>
      <c r="M345">
        <v>1</v>
      </c>
    </row>
    <row r="346" spans="1:13" x14ac:dyDescent="0.25">
      <c r="A346" t="s">
        <v>0</v>
      </c>
      <c r="B346" s="5">
        <v>3.9</v>
      </c>
      <c r="C346" t="s">
        <v>433</v>
      </c>
      <c r="D346" t="s">
        <v>434</v>
      </c>
      <c r="E346" t="s">
        <v>429</v>
      </c>
      <c r="F346" s="4">
        <v>94000</v>
      </c>
      <c r="G346" s="4">
        <v>132000</v>
      </c>
      <c r="H346" s="4">
        <f t="shared" si="5"/>
        <v>113000</v>
      </c>
      <c r="I346">
        <v>0</v>
      </c>
      <c r="J346">
        <v>0</v>
      </c>
      <c r="K346">
        <v>0</v>
      </c>
      <c r="L346">
        <v>0</v>
      </c>
      <c r="M346">
        <v>1</v>
      </c>
    </row>
    <row r="347" spans="1:13" x14ac:dyDescent="0.25">
      <c r="A347" t="s">
        <v>0</v>
      </c>
      <c r="B347" s="5">
        <v>3.9</v>
      </c>
      <c r="C347" t="s">
        <v>433</v>
      </c>
      <c r="D347" t="s">
        <v>434</v>
      </c>
      <c r="E347" t="s">
        <v>429</v>
      </c>
      <c r="F347" s="4">
        <v>94000</v>
      </c>
      <c r="G347" s="4">
        <v>132000</v>
      </c>
      <c r="H347" s="4">
        <f t="shared" si="5"/>
        <v>113000</v>
      </c>
      <c r="I347">
        <v>0</v>
      </c>
      <c r="J347">
        <v>0</v>
      </c>
      <c r="K347">
        <v>0</v>
      </c>
      <c r="L347">
        <v>0</v>
      </c>
      <c r="M347">
        <v>1</v>
      </c>
    </row>
    <row r="348" spans="1:13" x14ac:dyDescent="0.25">
      <c r="A348" t="s">
        <v>0</v>
      </c>
      <c r="B348" s="5">
        <v>3.9</v>
      </c>
      <c r="C348" t="s">
        <v>433</v>
      </c>
      <c r="D348" t="s">
        <v>434</v>
      </c>
      <c r="E348" t="s">
        <v>429</v>
      </c>
      <c r="F348" s="4">
        <v>94000</v>
      </c>
      <c r="G348" s="4">
        <v>132000</v>
      </c>
      <c r="H348" s="4">
        <f t="shared" si="5"/>
        <v>113000</v>
      </c>
      <c r="I348">
        <v>0</v>
      </c>
      <c r="J348">
        <v>0</v>
      </c>
      <c r="K348">
        <v>0</v>
      </c>
      <c r="L348">
        <v>0</v>
      </c>
      <c r="M348">
        <v>1</v>
      </c>
    </row>
    <row r="349" spans="1:13" x14ac:dyDescent="0.25">
      <c r="A349" t="s">
        <v>0</v>
      </c>
      <c r="B349" s="5">
        <v>3.9</v>
      </c>
      <c r="C349" t="s">
        <v>433</v>
      </c>
      <c r="D349" t="s">
        <v>434</v>
      </c>
      <c r="E349" t="s">
        <v>429</v>
      </c>
      <c r="F349" s="4">
        <v>94000</v>
      </c>
      <c r="G349" s="4">
        <v>132000</v>
      </c>
      <c r="H349" s="4">
        <f t="shared" si="5"/>
        <v>113000</v>
      </c>
      <c r="I349">
        <v>0</v>
      </c>
      <c r="J349">
        <v>0</v>
      </c>
      <c r="K349">
        <v>0</v>
      </c>
      <c r="L349">
        <v>0</v>
      </c>
      <c r="M349">
        <v>1</v>
      </c>
    </row>
    <row r="350" spans="1:13" x14ac:dyDescent="0.25">
      <c r="A350" t="s">
        <v>0</v>
      </c>
      <c r="B350" s="5">
        <v>3.9</v>
      </c>
      <c r="C350" t="s">
        <v>433</v>
      </c>
      <c r="D350" t="s">
        <v>434</v>
      </c>
      <c r="E350" t="s">
        <v>429</v>
      </c>
      <c r="F350" s="4">
        <v>94000</v>
      </c>
      <c r="G350" s="4">
        <v>132000</v>
      </c>
      <c r="H350" s="4">
        <f t="shared" si="5"/>
        <v>113000</v>
      </c>
      <c r="I350">
        <v>0</v>
      </c>
      <c r="J350">
        <v>0</v>
      </c>
      <c r="K350">
        <v>0</v>
      </c>
      <c r="L350">
        <v>0</v>
      </c>
      <c r="M350">
        <v>1</v>
      </c>
    </row>
    <row r="351" spans="1:13" x14ac:dyDescent="0.25">
      <c r="A351" t="s">
        <v>0</v>
      </c>
      <c r="B351" s="5">
        <v>3.9</v>
      </c>
      <c r="C351" t="s">
        <v>433</v>
      </c>
      <c r="D351" t="s">
        <v>434</v>
      </c>
      <c r="E351" t="s">
        <v>429</v>
      </c>
      <c r="F351" s="4">
        <v>94000</v>
      </c>
      <c r="G351" s="4">
        <v>132000</v>
      </c>
      <c r="H351" s="4">
        <f t="shared" si="5"/>
        <v>113000</v>
      </c>
      <c r="I351">
        <v>0</v>
      </c>
      <c r="J351">
        <v>0</v>
      </c>
      <c r="K351">
        <v>0</v>
      </c>
      <c r="L351">
        <v>0</v>
      </c>
      <c r="M351">
        <v>1</v>
      </c>
    </row>
    <row r="352" spans="1:13" x14ac:dyDescent="0.25">
      <c r="A352" t="s">
        <v>0</v>
      </c>
      <c r="B352" s="5">
        <v>3.9</v>
      </c>
      <c r="C352" t="s">
        <v>433</v>
      </c>
      <c r="D352" t="s">
        <v>434</v>
      </c>
      <c r="E352" t="s">
        <v>429</v>
      </c>
      <c r="F352" s="4">
        <v>94000</v>
      </c>
      <c r="G352" s="4">
        <v>132000</v>
      </c>
      <c r="H352" s="4">
        <f t="shared" si="5"/>
        <v>113000</v>
      </c>
      <c r="I352">
        <v>0</v>
      </c>
      <c r="J352">
        <v>0</v>
      </c>
      <c r="K352">
        <v>0</v>
      </c>
      <c r="L352">
        <v>0</v>
      </c>
      <c r="M352">
        <v>1</v>
      </c>
    </row>
    <row r="353" spans="1:13" x14ac:dyDescent="0.25">
      <c r="A353" t="s">
        <v>0</v>
      </c>
      <c r="B353" s="5">
        <v>3.9</v>
      </c>
      <c r="C353" t="s">
        <v>433</v>
      </c>
      <c r="D353" t="s">
        <v>434</v>
      </c>
      <c r="E353" t="s">
        <v>429</v>
      </c>
      <c r="F353" s="4">
        <v>94000</v>
      </c>
      <c r="G353" s="4">
        <v>132000</v>
      </c>
      <c r="H353" s="4">
        <f t="shared" si="5"/>
        <v>113000</v>
      </c>
      <c r="I353">
        <v>0</v>
      </c>
      <c r="J353">
        <v>0</v>
      </c>
      <c r="K353">
        <v>0</v>
      </c>
      <c r="L353">
        <v>0</v>
      </c>
      <c r="M353">
        <v>1</v>
      </c>
    </row>
    <row r="354" spans="1:13" x14ac:dyDescent="0.25">
      <c r="A354" t="s">
        <v>0</v>
      </c>
      <c r="B354" s="5">
        <v>3.9</v>
      </c>
      <c r="C354" t="s">
        <v>433</v>
      </c>
      <c r="D354" t="s">
        <v>434</v>
      </c>
      <c r="E354" t="s">
        <v>429</v>
      </c>
      <c r="F354" s="4">
        <v>94000</v>
      </c>
      <c r="G354" s="4">
        <v>132000</v>
      </c>
      <c r="H354" s="4">
        <f t="shared" si="5"/>
        <v>113000</v>
      </c>
      <c r="I354">
        <v>0</v>
      </c>
      <c r="J354">
        <v>0</v>
      </c>
      <c r="K354">
        <v>0</v>
      </c>
      <c r="L354">
        <v>0</v>
      </c>
      <c r="M354">
        <v>1</v>
      </c>
    </row>
    <row r="355" spans="1:13" x14ac:dyDescent="0.25">
      <c r="A355" t="s">
        <v>0</v>
      </c>
      <c r="B355" s="5">
        <v>3.9</v>
      </c>
      <c r="C355" t="s">
        <v>433</v>
      </c>
      <c r="D355" t="s">
        <v>434</v>
      </c>
      <c r="E355" t="s">
        <v>429</v>
      </c>
      <c r="F355" s="4">
        <v>94000</v>
      </c>
      <c r="G355" s="4">
        <v>132000</v>
      </c>
      <c r="H355" s="4">
        <f t="shared" si="5"/>
        <v>113000</v>
      </c>
      <c r="I355">
        <v>0</v>
      </c>
      <c r="J355">
        <v>0</v>
      </c>
      <c r="K355">
        <v>0</v>
      </c>
      <c r="L355">
        <v>0</v>
      </c>
      <c r="M355">
        <v>1</v>
      </c>
    </row>
    <row r="356" spans="1:13" x14ac:dyDescent="0.25">
      <c r="A356" t="s">
        <v>0</v>
      </c>
      <c r="B356" s="5">
        <v>3.9</v>
      </c>
      <c r="C356" t="s">
        <v>433</v>
      </c>
      <c r="D356" t="s">
        <v>434</v>
      </c>
      <c r="E356" t="s">
        <v>429</v>
      </c>
      <c r="F356" s="4">
        <v>94000</v>
      </c>
      <c r="G356" s="4">
        <v>132000</v>
      </c>
      <c r="H356" s="4">
        <f t="shared" si="5"/>
        <v>113000</v>
      </c>
      <c r="I356">
        <v>0</v>
      </c>
      <c r="J356">
        <v>0</v>
      </c>
      <c r="K356">
        <v>0</v>
      </c>
      <c r="L356">
        <v>0</v>
      </c>
      <c r="M356">
        <v>1</v>
      </c>
    </row>
    <row r="357" spans="1:13" x14ac:dyDescent="0.25">
      <c r="A357" t="s">
        <v>0</v>
      </c>
      <c r="B357" s="5">
        <v>3.9</v>
      </c>
      <c r="C357" t="s">
        <v>433</v>
      </c>
      <c r="D357" t="s">
        <v>434</v>
      </c>
      <c r="E357" t="s">
        <v>429</v>
      </c>
      <c r="F357" s="4">
        <v>94000</v>
      </c>
      <c r="G357" s="4">
        <v>132000</v>
      </c>
      <c r="H357" s="4">
        <f t="shared" si="5"/>
        <v>113000</v>
      </c>
      <c r="I357">
        <v>0</v>
      </c>
      <c r="J357">
        <v>0</v>
      </c>
      <c r="K357">
        <v>0</v>
      </c>
      <c r="L357">
        <v>0</v>
      </c>
      <c r="M357">
        <v>1</v>
      </c>
    </row>
    <row r="358" spans="1:13" x14ac:dyDescent="0.25">
      <c r="A358" t="s">
        <v>347</v>
      </c>
      <c r="B358" s="5">
        <v>4.0999999999999996</v>
      </c>
      <c r="C358" t="s">
        <v>348</v>
      </c>
      <c r="D358" t="s">
        <v>434</v>
      </c>
      <c r="E358" t="s">
        <v>429</v>
      </c>
      <c r="F358" s="4">
        <v>85000</v>
      </c>
      <c r="G358" s="4">
        <v>115000</v>
      </c>
      <c r="H358" s="4">
        <f t="shared" si="5"/>
        <v>100000</v>
      </c>
      <c r="I358">
        <v>0</v>
      </c>
      <c r="J358">
        <v>0</v>
      </c>
      <c r="K358">
        <v>0</v>
      </c>
      <c r="L358">
        <v>0</v>
      </c>
      <c r="M358">
        <v>1</v>
      </c>
    </row>
    <row r="359" spans="1:13" x14ac:dyDescent="0.25">
      <c r="A359" t="s">
        <v>435</v>
      </c>
      <c r="B359" s="5">
        <v>3.8</v>
      </c>
      <c r="C359" t="s">
        <v>436</v>
      </c>
      <c r="D359" t="s">
        <v>437</v>
      </c>
      <c r="E359" t="s">
        <v>438</v>
      </c>
      <c r="F359" s="4">
        <v>153000</v>
      </c>
      <c r="G359" s="4">
        <v>215000</v>
      </c>
      <c r="H359" s="4">
        <f t="shared" si="5"/>
        <v>184000</v>
      </c>
      <c r="I359">
        <v>0</v>
      </c>
      <c r="J359">
        <v>0</v>
      </c>
      <c r="K359">
        <v>0</v>
      </c>
      <c r="L359">
        <v>0</v>
      </c>
      <c r="M359">
        <v>1</v>
      </c>
    </row>
    <row r="360" spans="1:13" x14ac:dyDescent="0.25">
      <c r="A360" t="s">
        <v>30</v>
      </c>
      <c r="B360" s="5">
        <v>3.5</v>
      </c>
      <c r="C360" t="s">
        <v>439</v>
      </c>
      <c r="D360" t="s">
        <v>437</v>
      </c>
      <c r="E360" t="s">
        <v>438</v>
      </c>
      <c r="F360" s="4">
        <v>122000</v>
      </c>
      <c r="G360" s="4">
        <v>150000</v>
      </c>
      <c r="H360" s="4">
        <f t="shared" si="5"/>
        <v>136000</v>
      </c>
      <c r="I360">
        <v>0</v>
      </c>
      <c r="J360">
        <v>0</v>
      </c>
      <c r="K360">
        <v>0</v>
      </c>
      <c r="L360">
        <v>0</v>
      </c>
      <c r="M360">
        <v>1</v>
      </c>
    </row>
    <row r="361" spans="1:13" x14ac:dyDescent="0.25">
      <c r="A361" t="s">
        <v>30</v>
      </c>
      <c r="B361" s="5">
        <v>3.9</v>
      </c>
      <c r="C361" t="s">
        <v>440</v>
      </c>
      <c r="D361" t="s">
        <v>437</v>
      </c>
      <c r="E361" t="s">
        <v>438</v>
      </c>
      <c r="F361" s="4">
        <v>119000</v>
      </c>
      <c r="G361" s="4">
        <v>157000</v>
      </c>
      <c r="H361" s="4">
        <f t="shared" si="5"/>
        <v>138000</v>
      </c>
      <c r="I361">
        <v>0</v>
      </c>
      <c r="J361">
        <v>0</v>
      </c>
      <c r="K361">
        <v>0</v>
      </c>
      <c r="L361">
        <v>0</v>
      </c>
      <c r="M361">
        <v>1</v>
      </c>
    </row>
    <row r="362" spans="1:13" x14ac:dyDescent="0.25">
      <c r="A362" t="s">
        <v>0</v>
      </c>
      <c r="B362" s="5">
        <v>3.5</v>
      </c>
      <c r="C362" t="s">
        <v>441</v>
      </c>
      <c r="D362" t="s">
        <v>437</v>
      </c>
      <c r="E362" t="s">
        <v>438</v>
      </c>
      <c r="F362" s="4">
        <v>107000</v>
      </c>
      <c r="G362" s="4">
        <v>157000</v>
      </c>
      <c r="H362" s="4">
        <f t="shared" si="5"/>
        <v>132000</v>
      </c>
      <c r="I362">
        <v>0</v>
      </c>
      <c r="J362">
        <v>0</v>
      </c>
      <c r="K362">
        <v>0</v>
      </c>
      <c r="L362">
        <v>0</v>
      </c>
      <c r="M362">
        <v>1</v>
      </c>
    </row>
    <row r="363" spans="1:13" x14ac:dyDescent="0.25">
      <c r="A363" t="s">
        <v>121</v>
      </c>
      <c r="B363" s="5">
        <v>4.3</v>
      </c>
      <c r="C363" t="s">
        <v>442</v>
      </c>
      <c r="D363" t="s">
        <v>437</v>
      </c>
      <c r="E363" t="s">
        <v>438</v>
      </c>
      <c r="F363" s="4">
        <v>104000</v>
      </c>
      <c r="G363" s="4">
        <v>144000</v>
      </c>
      <c r="H363" s="4">
        <f t="shared" si="5"/>
        <v>124000</v>
      </c>
      <c r="I363">
        <v>1</v>
      </c>
      <c r="J363">
        <v>1</v>
      </c>
      <c r="K363">
        <v>0</v>
      </c>
      <c r="L363">
        <v>1</v>
      </c>
      <c r="M363">
        <v>1</v>
      </c>
    </row>
    <row r="364" spans="1:13" x14ac:dyDescent="0.25">
      <c r="A364" t="s">
        <v>443</v>
      </c>
      <c r="B364" s="5">
        <v>4.3</v>
      </c>
      <c r="C364" t="s">
        <v>444</v>
      </c>
      <c r="D364" t="s">
        <v>437</v>
      </c>
      <c r="E364" t="s">
        <v>438</v>
      </c>
      <c r="F364" s="4">
        <v>102000</v>
      </c>
      <c r="G364" s="4">
        <v>142000</v>
      </c>
      <c r="H364" s="4">
        <f t="shared" si="5"/>
        <v>122000</v>
      </c>
      <c r="I364">
        <v>0</v>
      </c>
      <c r="J364">
        <v>0</v>
      </c>
      <c r="K364">
        <v>0</v>
      </c>
      <c r="L364">
        <v>0</v>
      </c>
      <c r="M364">
        <v>1</v>
      </c>
    </row>
    <row r="365" spans="1:13" x14ac:dyDescent="0.25">
      <c r="A365" t="s">
        <v>121</v>
      </c>
      <c r="B365" s="5">
        <v>3.9</v>
      </c>
      <c r="C365" t="s">
        <v>445</v>
      </c>
      <c r="D365" t="s">
        <v>437</v>
      </c>
      <c r="E365" t="s">
        <v>438</v>
      </c>
      <c r="F365" s="4">
        <v>102000</v>
      </c>
      <c r="G365" s="4">
        <v>138000</v>
      </c>
      <c r="H365" s="4">
        <f t="shared" si="5"/>
        <v>120000</v>
      </c>
      <c r="I365">
        <v>0</v>
      </c>
      <c r="J365">
        <v>0</v>
      </c>
      <c r="K365">
        <v>0</v>
      </c>
      <c r="L365">
        <v>0</v>
      </c>
      <c r="M365">
        <v>1</v>
      </c>
    </row>
    <row r="366" spans="1:13" x14ac:dyDescent="0.25">
      <c r="A366" t="s">
        <v>408</v>
      </c>
      <c r="B366" s="5">
        <v>4.5</v>
      </c>
      <c r="C366" t="s">
        <v>446</v>
      </c>
      <c r="D366" t="s">
        <v>437</v>
      </c>
      <c r="E366" t="s">
        <v>438</v>
      </c>
      <c r="F366" s="4">
        <v>101000</v>
      </c>
      <c r="G366" s="4">
        <v>204000</v>
      </c>
      <c r="H366" s="4">
        <f t="shared" si="5"/>
        <v>152500</v>
      </c>
      <c r="I366">
        <v>0</v>
      </c>
      <c r="J366">
        <v>0</v>
      </c>
      <c r="K366">
        <v>0</v>
      </c>
      <c r="L366">
        <v>0</v>
      </c>
      <c r="M366">
        <v>1</v>
      </c>
    </row>
    <row r="367" spans="1:13" x14ac:dyDescent="0.25">
      <c r="A367" t="s">
        <v>0</v>
      </c>
      <c r="B367" s="5">
        <v>4</v>
      </c>
      <c r="C367" t="s">
        <v>447</v>
      </c>
      <c r="D367" t="s">
        <v>437</v>
      </c>
      <c r="E367" t="s">
        <v>438</v>
      </c>
      <c r="F367" s="4">
        <v>97000</v>
      </c>
      <c r="G367" s="4">
        <v>127000</v>
      </c>
      <c r="H367" s="4">
        <f t="shared" si="5"/>
        <v>112000</v>
      </c>
      <c r="I367">
        <v>0</v>
      </c>
      <c r="J367">
        <v>1</v>
      </c>
      <c r="K367">
        <v>0</v>
      </c>
      <c r="L367">
        <v>0</v>
      </c>
      <c r="M367">
        <v>1</v>
      </c>
    </row>
    <row r="368" spans="1:13" x14ac:dyDescent="0.25">
      <c r="A368" t="s">
        <v>448</v>
      </c>
      <c r="B368" s="5">
        <v>4.3</v>
      </c>
      <c r="C368" t="s">
        <v>449</v>
      </c>
      <c r="D368" t="s">
        <v>437</v>
      </c>
      <c r="E368" t="s">
        <v>438</v>
      </c>
      <c r="F368" s="4">
        <v>94000</v>
      </c>
      <c r="G368" s="4">
        <v>144000</v>
      </c>
      <c r="H368" s="4">
        <f t="shared" si="5"/>
        <v>119000</v>
      </c>
      <c r="I368">
        <v>0</v>
      </c>
      <c r="J368">
        <v>0</v>
      </c>
      <c r="K368">
        <v>0</v>
      </c>
      <c r="L368">
        <v>0</v>
      </c>
      <c r="M368">
        <v>1</v>
      </c>
    </row>
    <row r="369" spans="1:13" x14ac:dyDescent="0.25">
      <c r="A369" t="s">
        <v>0</v>
      </c>
      <c r="B369" s="5">
        <v>3.9</v>
      </c>
      <c r="C369" t="s">
        <v>450</v>
      </c>
      <c r="D369" t="s">
        <v>437</v>
      </c>
      <c r="E369" t="s">
        <v>438</v>
      </c>
      <c r="F369" s="4">
        <v>94000</v>
      </c>
      <c r="G369" s="4">
        <v>130000</v>
      </c>
      <c r="H369" s="4">
        <f t="shared" si="5"/>
        <v>112000</v>
      </c>
      <c r="I369">
        <v>0</v>
      </c>
      <c r="J369">
        <v>0</v>
      </c>
      <c r="K369">
        <v>0</v>
      </c>
      <c r="L369">
        <v>0</v>
      </c>
      <c r="M369">
        <v>1</v>
      </c>
    </row>
    <row r="370" spans="1:13" x14ac:dyDescent="0.25">
      <c r="A370" t="s">
        <v>0</v>
      </c>
      <c r="B370" s="5">
        <v>3.7</v>
      </c>
      <c r="C370" t="s">
        <v>451</v>
      </c>
      <c r="D370" t="s">
        <v>437</v>
      </c>
      <c r="E370" t="s">
        <v>438</v>
      </c>
      <c r="F370" s="4">
        <v>92000</v>
      </c>
      <c r="G370" s="4">
        <v>130000</v>
      </c>
      <c r="H370" s="4">
        <f t="shared" si="5"/>
        <v>111000</v>
      </c>
      <c r="I370">
        <v>0</v>
      </c>
      <c r="J370">
        <v>0</v>
      </c>
      <c r="K370">
        <v>0</v>
      </c>
      <c r="L370">
        <v>0</v>
      </c>
      <c r="M370">
        <v>1</v>
      </c>
    </row>
    <row r="371" spans="1:13" x14ac:dyDescent="0.25">
      <c r="A371" t="s">
        <v>0</v>
      </c>
      <c r="B371" s="5">
        <v>3.8</v>
      </c>
      <c r="C371" t="s">
        <v>452</v>
      </c>
      <c r="D371" t="s">
        <v>437</v>
      </c>
      <c r="E371" t="s">
        <v>438</v>
      </c>
      <c r="F371" s="4">
        <v>90000</v>
      </c>
      <c r="G371" s="4">
        <v>123000</v>
      </c>
      <c r="H371" s="4">
        <f t="shared" si="5"/>
        <v>106500</v>
      </c>
      <c r="I371">
        <v>0</v>
      </c>
      <c r="J371">
        <v>0</v>
      </c>
      <c r="K371">
        <v>0</v>
      </c>
      <c r="L371">
        <v>0</v>
      </c>
      <c r="M371">
        <v>1</v>
      </c>
    </row>
    <row r="372" spans="1:13" x14ac:dyDescent="0.25">
      <c r="A372" t="s">
        <v>453</v>
      </c>
      <c r="B372" s="5">
        <v>3.9</v>
      </c>
      <c r="C372" t="s">
        <v>454</v>
      </c>
      <c r="D372" t="s">
        <v>437</v>
      </c>
      <c r="E372" t="s">
        <v>438</v>
      </c>
      <c r="F372" s="4">
        <v>81000</v>
      </c>
      <c r="G372" s="4">
        <v>129000</v>
      </c>
      <c r="H372" s="4">
        <f t="shared" si="5"/>
        <v>105000</v>
      </c>
      <c r="I372">
        <v>0</v>
      </c>
      <c r="J372">
        <v>0</v>
      </c>
      <c r="K372">
        <v>0</v>
      </c>
      <c r="L372">
        <v>0</v>
      </c>
      <c r="M372">
        <v>1</v>
      </c>
    </row>
    <row r="373" spans="1:13" x14ac:dyDescent="0.25">
      <c r="A373" t="s">
        <v>455</v>
      </c>
      <c r="B373" s="5">
        <v>3.9</v>
      </c>
      <c r="C373" t="s">
        <v>456</v>
      </c>
      <c r="D373" t="s">
        <v>437</v>
      </c>
      <c r="E373" t="s">
        <v>438</v>
      </c>
      <c r="F373" s="4">
        <v>65000</v>
      </c>
      <c r="G373" s="4">
        <v>88000</v>
      </c>
      <c r="H373" s="4">
        <f t="shared" si="5"/>
        <v>76500</v>
      </c>
      <c r="I373">
        <v>0</v>
      </c>
      <c r="J373">
        <v>0</v>
      </c>
      <c r="K373">
        <v>0</v>
      </c>
      <c r="L373">
        <v>0</v>
      </c>
      <c r="M373">
        <v>1</v>
      </c>
    </row>
    <row r="374" spans="1:13" x14ac:dyDescent="0.25">
      <c r="A374" t="s">
        <v>30</v>
      </c>
      <c r="B374" s="5">
        <v>4</v>
      </c>
      <c r="C374" t="s">
        <v>457</v>
      </c>
      <c r="D374" t="s">
        <v>458</v>
      </c>
      <c r="E374" t="s">
        <v>438</v>
      </c>
      <c r="F374" s="4">
        <v>120000</v>
      </c>
      <c r="G374" s="4">
        <v>160000</v>
      </c>
      <c r="H374" s="4">
        <f t="shared" si="5"/>
        <v>140000</v>
      </c>
      <c r="I374">
        <v>0</v>
      </c>
      <c r="J374">
        <v>0</v>
      </c>
      <c r="K374">
        <v>0</v>
      </c>
      <c r="L374">
        <v>0</v>
      </c>
      <c r="M374">
        <v>1</v>
      </c>
    </row>
    <row r="375" spans="1:13" x14ac:dyDescent="0.25">
      <c r="A375" t="s">
        <v>84</v>
      </c>
      <c r="B375" s="5">
        <v>3.9</v>
      </c>
      <c r="C375" t="s">
        <v>459</v>
      </c>
      <c r="D375" t="s">
        <v>460</v>
      </c>
      <c r="E375" t="s">
        <v>438</v>
      </c>
      <c r="F375" s="4">
        <v>126000</v>
      </c>
      <c r="G375" s="4">
        <v>165000</v>
      </c>
      <c r="H375" s="4">
        <f t="shared" si="5"/>
        <v>145500</v>
      </c>
      <c r="I375">
        <v>0</v>
      </c>
      <c r="J375">
        <v>0</v>
      </c>
      <c r="K375">
        <v>0</v>
      </c>
      <c r="L375">
        <v>0</v>
      </c>
      <c r="M375">
        <v>1</v>
      </c>
    </row>
    <row r="376" spans="1:13" x14ac:dyDescent="0.25">
      <c r="A376" t="s">
        <v>461</v>
      </c>
      <c r="B376" s="5">
        <v>3.6</v>
      </c>
      <c r="C376" t="s">
        <v>462</v>
      </c>
      <c r="D376" t="s">
        <v>463</v>
      </c>
      <c r="E376" t="s">
        <v>438</v>
      </c>
      <c r="F376" s="4">
        <v>101000</v>
      </c>
      <c r="G376" s="4">
        <v>132000</v>
      </c>
      <c r="H376" s="4">
        <f t="shared" si="5"/>
        <v>116500</v>
      </c>
      <c r="I376">
        <v>0</v>
      </c>
      <c r="J376">
        <v>0</v>
      </c>
      <c r="K376">
        <v>0</v>
      </c>
      <c r="L376">
        <v>0</v>
      </c>
      <c r="M376">
        <v>1</v>
      </c>
    </row>
    <row r="377" spans="1:13" x14ac:dyDescent="0.25">
      <c r="A377" t="s">
        <v>0</v>
      </c>
      <c r="B377" s="5">
        <v>3.1</v>
      </c>
      <c r="C377" t="s">
        <v>464</v>
      </c>
      <c r="D377" t="s">
        <v>465</v>
      </c>
      <c r="E377" t="s">
        <v>438</v>
      </c>
      <c r="F377" s="4">
        <v>83000</v>
      </c>
      <c r="G377" s="4">
        <v>111000</v>
      </c>
      <c r="H377" s="4">
        <f t="shared" si="5"/>
        <v>97000</v>
      </c>
      <c r="I377">
        <v>0</v>
      </c>
      <c r="J377">
        <v>0</v>
      </c>
      <c r="K377">
        <v>0</v>
      </c>
      <c r="L377">
        <v>0</v>
      </c>
      <c r="M377">
        <v>1</v>
      </c>
    </row>
    <row r="378" spans="1:13" x14ac:dyDescent="0.25">
      <c r="A378" t="s">
        <v>466</v>
      </c>
      <c r="B378" s="5">
        <v>4</v>
      </c>
      <c r="C378" t="s">
        <v>467</v>
      </c>
      <c r="D378" t="s">
        <v>468</v>
      </c>
      <c r="E378" t="s">
        <v>438</v>
      </c>
      <c r="F378" s="4">
        <v>88000</v>
      </c>
      <c r="G378" s="4">
        <v>120000</v>
      </c>
      <c r="H378" s="4">
        <f t="shared" si="5"/>
        <v>104000</v>
      </c>
      <c r="I378">
        <v>0</v>
      </c>
      <c r="J378">
        <v>0</v>
      </c>
      <c r="K378">
        <v>0</v>
      </c>
      <c r="L378">
        <v>0</v>
      </c>
      <c r="M378">
        <v>1</v>
      </c>
    </row>
    <row r="379" spans="1:13" x14ac:dyDescent="0.25">
      <c r="A379" t="s">
        <v>145</v>
      </c>
      <c r="B379" s="5">
        <v>4</v>
      </c>
      <c r="C379" t="s">
        <v>457</v>
      </c>
      <c r="D379" t="s">
        <v>469</v>
      </c>
      <c r="E379" t="s">
        <v>438</v>
      </c>
      <c r="F379" s="4">
        <v>87000</v>
      </c>
      <c r="G379" s="4">
        <v>116000</v>
      </c>
      <c r="H379" s="4">
        <f t="shared" si="5"/>
        <v>101500</v>
      </c>
      <c r="I379">
        <v>0</v>
      </c>
      <c r="J379">
        <v>0</v>
      </c>
      <c r="K379">
        <v>0</v>
      </c>
      <c r="L379">
        <v>0</v>
      </c>
      <c r="M379">
        <v>1</v>
      </c>
    </row>
    <row r="380" spans="1:13" x14ac:dyDescent="0.25">
      <c r="A380" t="s">
        <v>0</v>
      </c>
      <c r="B380" s="5">
        <v>3.4</v>
      </c>
      <c r="C380" t="s">
        <v>470</v>
      </c>
      <c r="D380" t="s">
        <v>471</v>
      </c>
      <c r="E380" t="s">
        <v>438</v>
      </c>
      <c r="F380" s="4">
        <v>85000</v>
      </c>
      <c r="G380" s="4">
        <v>85000</v>
      </c>
      <c r="H380" s="4">
        <f t="shared" si="5"/>
        <v>85000</v>
      </c>
      <c r="I380">
        <v>0</v>
      </c>
      <c r="J380">
        <v>0</v>
      </c>
      <c r="K380">
        <v>0</v>
      </c>
      <c r="L380">
        <v>0</v>
      </c>
      <c r="M380">
        <v>1</v>
      </c>
    </row>
    <row r="381" spans="1:13" x14ac:dyDescent="0.25">
      <c r="A381" t="s">
        <v>84</v>
      </c>
      <c r="B381" s="5">
        <v>4.3</v>
      </c>
      <c r="C381" t="s">
        <v>472</v>
      </c>
      <c r="D381" t="s">
        <v>473</v>
      </c>
      <c r="E381" t="s">
        <v>438</v>
      </c>
      <c r="F381" s="4">
        <v>112000</v>
      </c>
      <c r="G381" s="4">
        <v>146000</v>
      </c>
      <c r="H381" s="4">
        <f t="shared" si="5"/>
        <v>129000</v>
      </c>
      <c r="I381">
        <v>0</v>
      </c>
      <c r="J381">
        <v>0</v>
      </c>
      <c r="K381">
        <v>0</v>
      </c>
      <c r="L381">
        <v>0</v>
      </c>
      <c r="M381">
        <v>1</v>
      </c>
    </row>
    <row r="382" spans="1:13" x14ac:dyDescent="0.25">
      <c r="A382" t="s">
        <v>474</v>
      </c>
      <c r="B382" s="5">
        <v>3.8</v>
      </c>
      <c r="C382" t="s">
        <v>475</v>
      </c>
      <c r="D382" t="s">
        <v>473</v>
      </c>
      <c r="E382" t="s">
        <v>438</v>
      </c>
      <c r="F382" s="4">
        <v>104000</v>
      </c>
      <c r="G382" s="4">
        <v>140000</v>
      </c>
      <c r="H382" s="4">
        <f t="shared" si="5"/>
        <v>122000</v>
      </c>
      <c r="I382">
        <v>1</v>
      </c>
      <c r="J382">
        <v>1</v>
      </c>
      <c r="K382">
        <v>0</v>
      </c>
      <c r="L382">
        <v>0</v>
      </c>
      <c r="M382">
        <v>1</v>
      </c>
    </row>
    <row r="383" spans="1:13" x14ac:dyDescent="0.25">
      <c r="A383" t="s">
        <v>0</v>
      </c>
      <c r="B383" s="5">
        <v>3.9</v>
      </c>
      <c r="C383" t="s">
        <v>476</v>
      </c>
      <c r="D383" t="s">
        <v>477</v>
      </c>
      <c r="E383" t="s">
        <v>438</v>
      </c>
      <c r="F383" s="4">
        <v>100000</v>
      </c>
      <c r="G383" s="4">
        <v>133000</v>
      </c>
      <c r="H383" s="4">
        <f t="shared" si="5"/>
        <v>116500</v>
      </c>
      <c r="I383">
        <v>0</v>
      </c>
      <c r="J383">
        <v>0</v>
      </c>
      <c r="K383">
        <v>0</v>
      </c>
      <c r="L383">
        <v>0</v>
      </c>
      <c r="M383">
        <v>1</v>
      </c>
    </row>
    <row r="384" spans="1:13" x14ac:dyDescent="0.25">
      <c r="A384" t="s">
        <v>478</v>
      </c>
      <c r="B384" s="5">
        <v>4.3</v>
      </c>
      <c r="C384" t="s">
        <v>472</v>
      </c>
      <c r="D384" t="s">
        <v>477</v>
      </c>
      <c r="E384" t="s">
        <v>438</v>
      </c>
      <c r="F384" s="4">
        <v>81000</v>
      </c>
      <c r="G384" s="4">
        <v>115000</v>
      </c>
      <c r="H384" s="4">
        <f t="shared" si="5"/>
        <v>98000</v>
      </c>
      <c r="I384">
        <v>0</v>
      </c>
      <c r="J384">
        <v>0</v>
      </c>
      <c r="K384">
        <v>0</v>
      </c>
      <c r="L384">
        <v>0</v>
      </c>
      <c r="M384">
        <v>1</v>
      </c>
    </row>
    <row r="385" spans="1:13" x14ac:dyDescent="0.25">
      <c r="A385" t="s">
        <v>479</v>
      </c>
      <c r="B385" s="5">
        <v>4</v>
      </c>
      <c r="C385" t="s">
        <v>480</v>
      </c>
      <c r="D385" t="s">
        <v>481</v>
      </c>
      <c r="E385" t="s">
        <v>438</v>
      </c>
      <c r="F385" s="4">
        <v>99000</v>
      </c>
      <c r="G385" s="4">
        <v>136000</v>
      </c>
      <c r="H385" s="4">
        <f t="shared" si="5"/>
        <v>117500</v>
      </c>
      <c r="I385">
        <v>0</v>
      </c>
      <c r="J385">
        <v>0</v>
      </c>
      <c r="K385">
        <v>0</v>
      </c>
      <c r="L385">
        <v>0</v>
      </c>
      <c r="M385">
        <v>1</v>
      </c>
    </row>
    <row r="386" spans="1:13" x14ac:dyDescent="0.25">
      <c r="A386" t="s">
        <v>482</v>
      </c>
      <c r="C386" t="s">
        <v>483</v>
      </c>
      <c r="D386" t="s">
        <v>481</v>
      </c>
      <c r="E386" t="s">
        <v>438</v>
      </c>
      <c r="F386" s="4">
        <v>95000</v>
      </c>
      <c r="G386" s="4">
        <v>140000</v>
      </c>
      <c r="H386" s="4">
        <f t="shared" si="5"/>
        <v>117500</v>
      </c>
      <c r="I386">
        <v>0</v>
      </c>
      <c r="J386">
        <v>0</v>
      </c>
      <c r="K386">
        <v>0</v>
      </c>
      <c r="L386">
        <v>0</v>
      </c>
      <c r="M386">
        <v>1</v>
      </c>
    </row>
    <row r="387" spans="1:13" x14ac:dyDescent="0.25">
      <c r="A387" t="s">
        <v>110</v>
      </c>
      <c r="B387" s="5">
        <v>3.5</v>
      </c>
      <c r="C387" t="s">
        <v>484</v>
      </c>
      <c r="D387" t="s">
        <v>263</v>
      </c>
      <c r="E387" t="s">
        <v>438</v>
      </c>
      <c r="F387" s="4">
        <v>110000</v>
      </c>
      <c r="G387" s="4">
        <v>138000</v>
      </c>
      <c r="H387" s="4">
        <f t="shared" ref="H387:H450" si="6">(F387+G387)/2</f>
        <v>124000</v>
      </c>
      <c r="I387">
        <v>0</v>
      </c>
      <c r="J387">
        <v>0</v>
      </c>
      <c r="K387">
        <v>0</v>
      </c>
      <c r="L387">
        <v>0</v>
      </c>
      <c r="M387">
        <v>1</v>
      </c>
    </row>
    <row r="388" spans="1:13" x14ac:dyDescent="0.25">
      <c r="A388" t="s">
        <v>0</v>
      </c>
      <c r="B388" s="5">
        <v>3.9</v>
      </c>
      <c r="C388" t="s">
        <v>485</v>
      </c>
      <c r="D388" t="s">
        <v>486</v>
      </c>
      <c r="E388" t="s">
        <v>487</v>
      </c>
      <c r="F388" s="4">
        <v>83000</v>
      </c>
      <c r="G388" s="4">
        <v>123000</v>
      </c>
      <c r="H388" s="4">
        <f t="shared" si="6"/>
        <v>103000</v>
      </c>
      <c r="I388">
        <v>0</v>
      </c>
      <c r="J388">
        <v>0</v>
      </c>
      <c r="K388">
        <v>0</v>
      </c>
      <c r="L388">
        <v>0</v>
      </c>
      <c r="M388">
        <v>1</v>
      </c>
    </row>
    <row r="389" spans="1:13" x14ac:dyDescent="0.25">
      <c r="A389" t="s">
        <v>0</v>
      </c>
      <c r="B389" s="5">
        <v>3.4</v>
      </c>
      <c r="C389" t="s">
        <v>488</v>
      </c>
      <c r="D389" t="s">
        <v>486</v>
      </c>
      <c r="E389" t="s">
        <v>487</v>
      </c>
      <c r="F389" s="4">
        <v>76000</v>
      </c>
      <c r="G389" s="4">
        <v>103000</v>
      </c>
      <c r="H389" s="4">
        <f t="shared" si="6"/>
        <v>89500</v>
      </c>
      <c r="I389">
        <v>0</v>
      </c>
      <c r="J389">
        <v>0</v>
      </c>
      <c r="K389">
        <v>0</v>
      </c>
      <c r="L389">
        <v>0</v>
      </c>
      <c r="M389">
        <v>1</v>
      </c>
    </row>
    <row r="390" spans="1:13" x14ac:dyDescent="0.25">
      <c r="A390" t="s">
        <v>0</v>
      </c>
      <c r="C390" t="s">
        <v>489</v>
      </c>
      <c r="D390" t="s">
        <v>490</v>
      </c>
      <c r="E390" t="s">
        <v>491</v>
      </c>
      <c r="F390" s="4">
        <v>73000</v>
      </c>
      <c r="G390" s="4">
        <v>107000</v>
      </c>
      <c r="H390" s="4">
        <f t="shared" si="6"/>
        <v>90000</v>
      </c>
      <c r="I390">
        <v>0</v>
      </c>
      <c r="J390">
        <v>0</v>
      </c>
      <c r="K390">
        <v>0</v>
      </c>
      <c r="L390">
        <v>0</v>
      </c>
      <c r="M390">
        <v>1</v>
      </c>
    </row>
    <row r="391" spans="1:13" x14ac:dyDescent="0.25">
      <c r="A391" t="s">
        <v>0</v>
      </c>
      <c r="B391" s="5">
        <v>3.4</v>
      </c>
      <c r="C391" t="s">
        <v>492</v>
      </c>
      <c r="D391" t="s">
        <v>299</v>
      </c>
      <c r="E391" t="s">
        <v>493</v>
      </c>
      <c r="F391" s="4">
        <v>90000</v>
      </c>
      <c r="G391" s="4">
        <v>127000</v>
      </c>
      <c r="H391" s="4">
        <f t="shared" si="6"/>
        <v>108500</v>
      </c>
      <c r="I391">
        <v>0</v>
      </c>
      <c r="J391">
        <v>0</v>
      </c>
      <c r="K391">
        <v>0</v>
      </c>
      <c r="L391">
        <v>0</v>
      </c>
      <c r="M391">
        <v>1</v>
      </c>
    </row>
    <row r="392" spans="1:13" x14ac:dyDescent="0.25">
      <c r="A392" t="s">
        <v>0</v>
      </c>
      <c r="B392" s="5">
        <v>3.7</v>
      </c>
      <c r="C392" t="s">
        <v>494</v>
      </c>
      <c r="D392" t="s">
        <v>299</v>
      </c>
      <c r="E392" t="s">
        <v>493</v>
      </c>
      <c r="F392" s="4">
        <v>84000</v>
      </c>
      <c r="G392" s="4">
        <v>126000</v>
      </c>
      <c r="H392" s="4">
        <f t="shared" si="6"/>
        <v>105000</v>
      </c>
      <c r="I392">
        <v>0</v>
      </c>
      <c r="J392">
        <v>0</v>
      </c>
      <c r="K392">
        <v>0</v>
      </c>
      <c r="L392">
        <v>0</v>
      </c>
      <c r="M392">
        <v>1</v>
      </c>
    </row>
    <row r="393" spans="1:13" x14ac:dyDescent="0.25">
      <c r="A393" t="s">
        <v>0</v>
      </c>
      <c r="C393" t="s">
        <v>495</v>
      </c>
      <c r="D393" t="s">
        <v>496</v>
      </c>
      <c r="E393" t="s">
        <v>497</v>
      </c>
      <c r="F393" s="4">
        <v>94000</v>
      </c>
      <c r="G393" s="4">
        <v>120000</v>
      </c>
      <c r="H393" s="4">
        <f t="shared" si="6"/>
        <v>107000</v>
      </c>
      <c r="I393">
        <v>0</v>
      </c>
      <c r="J393">
        <v>0</v>
      </c>
      <c r="K393">
        <v>0</v>
      </c>
      <c r="L393">
        <v>0</v>
      </c>
      <c r="M393">
        <v>1</v>
      </c>
    </row>
    <row r="394" spans="1:13" x14ac:dyDescent="0.25">
      <c r="A394" t="s">
        <v>30</v>
      </c>
      <c r="B394" s="5">
        <v>3.9</v>
      </c>
      <c r="C394" t="s">
        <v>498</v>
      </c>
      <c r="D394" t="s">
        <v>499</v>
      </c>
      <c r="E394" t="s">
        <v>497</v>
      </c>
      <c r="F394" s="4">
        <v>107000</v>
      </c>
      <c r="G394" s="4">
        <v>154000</v>
      </c>
      <c r="H394" s="4">
        <f t="shared" si="6"/>
        <v>130500</v>
      </c>
      <c r="I394">
        <v>0</v>
      </c>
      <c r="J394">
        <v>0</v>
      </c>
      <c r="K394">
        <v>0</v>
      </c>
      <c r="L394">
        <v>0</v>
      </c>
      <c r="M394">
        <v>1</v>
      </c>
    </row>
    <row r="395" spans="1:13" x14ac:dyDescent="0.25">
      <c r="A395" t="s">
        <v>0</v>
      </c>
      <c r="B395" s="5">
        <v>3.9</v>
      </c>
      <c r="C395" t="s">
        <v>500</v>
      </c>
      <c r="D395" t="s">
        <v>501</v>
      </c>
      <c r="E395" t="s">
        <v>497</v>
      </c>
      <c r="F395" s="4">
        <v>74000</v>
      </c>
      <c r="G395" s="4">
        <v>123000</v>
      </c>
      <c r="H395" s="4">
        <f t="shared" si="6"/>
        <v>98500</v>
      </c>
      <c r="I395">
        <v>0</v>
      </c>
      <c r="J395">
        <v>0</v>
      </c>
      <c r="K395">
        <v>0</v>
      </c>
      <c r="L395">
        <v>0</v>
      </c>
      <c r="M395">
        <v>1</v>
      </c>
    </row>
    <row r="396" spans="1:13" x14ac:dyDescent="0.25">
      <c r="A396" t="s">
        <v>502</v>
      </c>
      <c r="B396" s="5">
        <v>3.6</v>
      </c>
      <c r="C396" t="s">
        <v>503</v>
      </c>
      <c r="D396" t="s">
        <v>504</v>
      </c>
      <c r="E396" t="s">
        <v>497</v>
      </c>
      <c r="F396" s="4">
        <v>95000</v>
      </c>
      <c r="G396" s="4">
        <v>152000</v>
      </c>
      <c r="H396" s="4">
        <f t="shared" si="6"/>
        <v>123500</v>
      </c>
      <c r="I396">
        <v>0</v>
      </c>
      <c r="J396">
        <v>0</v>
      </c>
      <c r="K396">
        <v>0</v>
      </c>
      <c r="L396">
        <v>0</v>
      </c>
      <c r="M396">
        <v>1</v>
      </c>
    </row>
    <row r="397" spans="1:13" x14ac:dyDescent="0.25">
      <c r="A397" t="s">
        <v>505</v>
      </c>
      <c r="B397" s="5">
        <v>3.6</v>
      </c>
      <c r="C397" t="s">
        <v>503</v>
      </c>
      <c r="D397" t="s">
        <v>504</v>
      </c>
      <c r="E397" t="s">
        <v>497</v>
      </c>
      <c r="F397" s="4">
        <v>81000</v>
      </c>
      <c r="G397" s="4">
        <v>129000</v>
      </c>
      <c r="H397" s="4">
        <f t="shared" si="6"/>
        <v>105000</v>
      </c>
      <c r="I397">
        <v>0</v>
      </c>
      <c r="J397">
        <v>0</v>
      </c>
      <c r="K397">
        <v>0</v>
      </c>
      <c r="L397">
        <v>0</v>
      </c>
      <c r="M397">
        <v>1</v>
      </c>
    </row>
    <row r="398" spans="1:13" x14ac:dyDescent="0.25">
      <c r="A398" t="s">
        <v>17</v>
      </c>
      <c r="B398" s="5">
        <v>4.3</v>
      </c>
      <c r="C398" t="s">
        <v>506</v>
      </c>
      <c r="D398" t="s">
        <v>507</v>
      </c>
      <c r="E398" t="s">
        <v>508</v>
      </c>
      <c r="F398" s="4">
        <v>85000</v>
      </c>
      <c r="G398" s="4">
        <v>115000</v>
      </c>
      <c r="H398" s="4">
        <f t="shared" si="6"/>
        <v>100000</v>
      </c>
      <c r="I398">
        <v>0</v>
      </c>
      <c r="J398">
        <v>0</v>
      </c>
      <c r="K398">
        <v>0</v>
      </c>
      <c r="L398">
        <v>0</v>
      </c>
      <c r="M398">
        <v>1</v>
      </c>
    </row>
    <row r="399" spans="1:13" x14ac:dyDescent="0.25">
      <c r="A399" t="s">
        <v>365</v>
      </c>
      <c r="B399" s="5">
        <v>3.9</v>
      </c>
      <c r="C399" t="s">
        <v>509</v>
      </c>
      <c r="D399" t="s">
        <v>510</v>
      </c>
      <c r="E399" t="s">
        <v>508</v>
      </c>
      <c r="F399" s="4">
        <v>157000</v>
      </c>
      <c r="G399" s="4">
        <v>192000</v>
      </c>
      <c r="H399" s="4">
        <f t="shared" si="6"/>
        <v>174500</v>
      </c>
      <c r="I399">
        <v>0</v>
      </c>
      <c r="J399">
        <v>1</v>
      </c>
      <c r="K399">
        <v>1</v>
      </c>
      <c r="L399">
        <v>0</v>
      </c>
      <c r="M399">
        <v>1</v>
      </c>
    </row>
    <row r="400" spans="1:13" x14ac:dyDescent="0.25">
      <c r="A400" t="s">
        <v>511</v>
      </c>
      <c r="B400" s="5">
        <v>3.5</v>
      </c>
      <c r="C400" t="s">
        <v>395</v>
      </c>
      <c r="D400" t="s">
        <v>510</v>
      </c>
      <c r="E400" t="s">
        <v>508</v>
      </c>
      <c r="F400" s="4">
        <v>133000</v>
      </c>
      <c r="G400" s="4">
        <v>180000</v>
      </c>
      <c r="H400" s="4">
        <f t="shared" si="6"/>
        <v>156500</v>
      </c>
      <c r="I400">
        <v>0</v>
      </c>
      <c r="J400">
        <v>0</v>
      </c>
      <c r="K400">
        <v>0</v>
      </c>
      <c r="L400">
        <v>0</v>
      </c>
      <c r="M400">
        <v>1</v>
      </c>
    </row>
    <row r="401" spans="1:13" x14ac:dyDescent="0.25">
      <c r="A401" t="s">
        <v>511</v>
      </c>
      <c r="B401" s="5">
        <v>3.5</v>
      </c>
      <c r="C401" t="s">
        <v>395</v>
      </c>
      <c r="D401" t="s">
        <v>510</v>
      </c>
      <c r="E401" t="s">
        <v>508</v>
      </c>
      <c r="F401" s="4">
        <v>133000</v>
      </c>
      <c r="G401" s="4">
        <v>180000</v>
      </c>
      <c r="H401" s="4">
        <f t="shared" si="6"/>
        <v>156500</v>
      </c>
      <c r="I401">
        <v>0</v>
      </c>
      <c r="J401">
        <v>0</v>
      </c>
      <c r="K401">
        <v>0</v>
      </c>
      <c r="L401">
        <v>0</v>
      </c>
      <c r="M401">
        <v>1</v>
      </c>
    </row>
    <row r="402" spans="1:13" x14ac:dyDescent="0.25">
      <c r="A402" t="s">
        <v>512</v>
      </c>
      <c r="B402" s="5">
        <v>4</v>
      </c>
      <c r="C402" t="s">
        <v>513</v>
      </c>
      <c r="D402" t="s">
        <v>510</v>
      </c>
      <c r="E402" t="s">
        <v>508</v>
      </c>
      <c r="F402" s="4">
        <v>125000</v>
      </c>
      <c r="G402" s="4">
        <v>164000</v>
      </c>
      <c r="H402" s="4">
        <f t="shared" si="6"/>
        <v>144500</v>
      </c>
      <c r="I402">
        <v>0</v>
      </c>
      <c r="J402">
        <v>0</v>
      </c>
      <c r="K402">
        <v>0</v>
      </c>
      <c r="L402">
        <v>0</v>
      </c>
      <c r="M402">
        <v>1</v>
      </c>
    </row>
    <row r="403" spans="1:13" x14ac:dyDescent="0.25">
      <c r="A403" t="s">
        <v>0</v>
      </c>
      <c r="B403" s="5">
        <v>4.0999999999999996</v>
      </c>
      <c r="C403" t="s">
        <v>348</v>
      </c>
      <c r="D403" t="s">
        <v>510</v>
      </c>
      <c r="E403" t="s">
        <v>508</v>
      </c>
      <c r="F403" s="4">
        <v>125000</v>
      </c>
      <c r="G403" s="4">
        <v>145000</v>
      </c>
      <c r="H403" s="4">
        <f t="shared" si="6"/>
        <v>135000</v>
      </c>
      <c r="I403">
        <v>0</v>
      </c>
      <c r="J403">
        <v>1</v>
      </c>
      <c r="K403">
        <v>0</v>
      </c>
      <c r="L403">
        <v>0</v>
      </c>
      <c r="M403">
        <v>1</v>
      </c>
    </row>
    <row r="404" spans="1:13" x14ac:dyDescent="0.25">
      <c r="A404" t="s">
        <v>514</v>
      </c>
      <c r="B404" s="5">
        <v>3.7</v>
      </c>
      <c r="C404" t="s">
        <v>407</v>
      </c>
      <c r="D404" t="s">
        <v>510</v>
      </c>
      <c r="E404" t="s">
        <v>508</v>
      </c>
      <c r="F404" s="4">
        <v>124000</v>
      </c>
      <c r="G404" s="4">
        <v>178000</v>
      </c>
      <c r="H404" s="4">
        <f t="shared" si="6"/>
        <v>151000</v>
      </c>
      <c r="I404">
        <v>0</v>
      </c>
      <c r="J404">
        <v>0</v>
      </c>
      <c r="K404">
        <v>0</v>
      </c>
      <c r="L404">
        <v>0</v>
      </c>
      <c r="M404">
        <v>1</v>
      </c>
    </row>
    <row r="405" spans="1:13" x14ac:dyDescent="0.25">
      <c r="A405" t="s">
        <v>515</v>
      </c>
      <c r="B405" s="5">
        <v>3.5</v>
      </c>
      <c r="C405" t="s">
        <v>516</v>
      </c>
      <c r="D405" t="s">
        <v>510</v>
      </c>
      <c r="E405" t="s">
        <v>508</v>
      </c>
      <c r="F405" s="4">
        <v>121000</v>
      </c>
      <c r="G405" s="4">
        <v>176000</v>
      </c>
      <c r="H405" s="4">
        <f t="shared" si="6"/>
        <v>148500</v>
      </c>
      <c r="I405">
        <v>0</v>
      </c>
      <c r="J405">
        <v>1</v>
      </c>
      <c r="K405">
        <v>0</v>
      </c>
      <c r="L405">
        <v>0</v>
      </c>
      <c r="M405">
        <v>1</v>
      </c>
    </row>
    <row r="406" spans="1:13" x14ac:dyDescent="0.25">
      <c r="A406" t="s">
        <v>30</v>
      </c>
      <c r="B406" s="5">
        <v>4</v>
      </c>
      <c r="C406" t="s">
        <v>208</v>
      </c>
      <c r="D406" t="s">
        <v>510</v>
      </c>
      <c r="E406" t="s">
        <v>508</v>
      </c>
      <c r="F406" s="4">
        <v>119000</v>
      </c>
      <c r="G406" s="4">
        <v>159000</v>
      </c>
      <c r="H406" s="4">
        <f t="shared" si="6"/>
        <v>139000</v>
      </c>
      <c r="I406">
        <v>0</v>
      </c>
      <c r="J406">
        <v>0</v>
      </c>
      <c r="K406">
        <v>0</v>
      </c>
      <c r="L406">
        <v>0</v>
      </c>
      <c r="M406">
        <v>1</v>
      </c>
    </row>
    <row r="407" spans="1:13" x14ac:dyDescent="0.25">
      <c r="A407" t="s">
        <v>0</v>
      </c>
      <c r="B407" s="5">
        <v>4.2</v>
      </c>
      <c r="C407" t="s">
        <v>517</v>
      </c>
      <c r="D407" t="s">
        <v>510</v>
      </c>
      <c r="E407" t="s">
        <v>508</v>
      </c>
      <c r="F407" s="4">
        <v>112000</v>
      </c>
      <c r="G407" s="4">
        <v>160000</v>
      </c>
      <c r="H407" s="4">
        <f t="shared" si="6"/>
        <v>136000</v>
      </c>
      <c r="I407">
        <v>0</v>
      </c>
      <c r="J407">
        <v>0</v>
      </c>
      <c r="K407">
        <v>0</v>
      </c>
      <c r="L407">
        <v>0</v>
      </c>
      <c r="M407">
        <v>1</v>
      </c>
    </row>
    <row r="408" spans="1:13" x14ac:dyDescent="0.25">
      <c r="A408" t="s">
        <v>518</v>
      </c>
      <c r="B408" s="5">
        <v>3.9</v>
      </c>
      <c r="C408" t="s">
        <v>519</v>
      </c>
      <c r="D408" t="s">
        <v>510</v>
      </c>
      <c r="E408" t="s">
        <v>508</v>
      </c>
      <c r="F408" s="4">
        <v>112000</v>
      </c>
      <c r="G408" s="4">
        <v>152000</v>
      </c>
      <c r="H408" s="4">
        <f t="shared" si="6"/>
        <v>132000</v>
      </c>
      <c r="I408">
        <v>0</v>
      </c>
      <c r="J408">
        <v>0</v>
      </c>
      <c r="K408">
        <v>0</v>
      </c>
      <c r="L408">
        <v>0</v>
      </c>
      <c r="M408">
        <v>1</v>
      </c>
    </row>
    <row r="409" spans="1:13" x14ac:dyDescent="0.25">
      <c r="A409" t="s">
        <v>0</v>
      </c>
      <c r="B409" s="5">
        <v>3</v>
      </c>
      <c r="C409" t="s">
        <v>520</v>
      </c>
      <c r="D409" t="s">
        <v>510</v>
      </c>
      <c r="E409" t="s">
        <v>508</v>
      </c>
      <c r="F409" s="4">
        <v>110000</v>
      </c>
      <c r="G409" s="4">
        <v>151000</v>
      </c>
      <c r="H409" s="4">
        <f t="shared" si="6"/>
        <v>130500</v>
      </c>
      <c r="I409">
        <v>0</v>
      </c>
      <c r="J409">
        <v>0</v>
      </c>
      <c r="K409">
        <v>0</v>
      </c>
      <c r="L409">
        <v>0</v>
      </c>
      <c r="M409">
        <v>1</v>
      </c>
    </row>
    <row r="410" spans="1:13" x14ac:dyDescent="0.25">
      <c r="A410" t="s">
        <v>0</v>
      </c>
      <c r="B410" s="5">
        <v>3</v>
      </c>
      <c r="C410" t="s">
        <v>520</v>
      </c>
      <c r="D410" t="s">
        <v>510</v>
      </c>
      <c r="E410" t="s">
        <v>508</v>
      </c>
      <c r="F410" s="4">
        <v>110000</v>
      </c>
      <c r="G410" s="4">
        <v>151000</v>
      </c>
      <c r="H410" s="4">
        <f t="shared" si="6"/>
        <v>130500</v>
      </c>
      <c r="I410">
        <v>0</v>
      </c>
      <c r="J410">
        <v>0</v>
      </c>
      <c r="K410">
        <v>0</v>
      </c>
      <c r="L410">
        <v>0</v>
      </c>
      <c r="M410">
        <v>1</v>
      </c>
    </row>
    <row r="411" spans="1:13" x14ac:dyDescent="0.25">
      <c r="A411" t="s">
        <v>0</v>
      </c>
      <c r="B411" s="5">
        <v>3</v>
      </c>
      <c r="C411" t="s">
        <v>520</v>
      </c>
      <c r="D411" t="s">
        <v>510</v>
      </c>
      <c r="E411" t="s">
        <v>508</v>
      </c>
      <c r="F411" s="4">
        <v>110000</v>
      </c>
      <c r="G411" s="4">
        <v>151000</v>
      </c>
      <c r="H411" s="4">
        <f t="shared" si="6"/>
        <v>130500</v>
      </c>
      <c r="I411">
        <v>0</v>
      </c>
      <c r="J411">
        <v>0</v>
      </c>
      <c r="K411">
        <v>0</v>
      </c>
      <c r="L411">
        <v>0</v>
      </c>
      <c r="M411">
        <v>1</v>
      </c>
    </row>
    <row r="412" spans="1:13" x14ac:dyDescent="0.25">
      <c r="A412" t="s">
        <v>0</v>
      </c>
      <c r="B412" s="5">
        <v>3</v>
      </c>
      <c r="C412" t="s">
        <v>520</v>
      </c>
      <c r="D412" t="s">
        <v>510</v>
      </c>
      <c r="E412" t="s">
        <v>508</v>
      </c>
      <c r="F412" s="4">
        <v>110000</v>
      </c>
      <c r="G412" s="4">
        <v>151000</v>
      </c>
      <c r="H412" s="4">
        <f t="shared" si="6"/>
        <v>130500</v>
      </c>
      <c r="I412">
        <v>0</v>
      </c>
      <c r="J412">
        <v>0</v>
      </c>
      <c r="K412">
        <v>0</v>
      </c>
      <c r="L412">
        <v>0</v>
      </c>
      <c r="M412">
        <v>1</v>
      </c>
    </row>
    <row r="413" spans="1:13" x14ac:dyDescent="0.25">
      <c r="A413" t="s">
        <v>0</v>
      </c>
      <c r="B413" s="5">
        <v>3</v>
      </c>
      <c r="C413" t="s">
        <v>520</v>
      </c>
      <c r="D413" t="s">
        <v>510</v>
      </c>
      <c r="E413" t="s">
        <v>508</v>
      </c>
      <c r="F413" s="4">
        <v>110000</v>
      </c>
      <c r="G413" s="4">
        <v>151000</v>
      </c>
      <c r="H413" s="4">
        <f t="shared" si="6"/>
        <v>130500</v>
      </c>
      <c r="I413">
        <v>0</v>
      </c>
      <c r="J413">
        <v>0</v>
      </c>
      <c r="K413">
        <v>0</v>
      </c>
      <c r="L413">
        <v>0</v>
      </c>
      <c r="M413">
        <v>1</v>
      </c>
    </row>
    <row r="414" spans="1:13" x14ac:dyDescent="0.25">
      <c r="A414" t="s">
        <v>0</v>
      </c>
      <c r="B414" s="5">
        <v>3</v>
      </c>
      <c r="C414" t="s">
        <v>520</v>
      </c>
      <c r="D414" t="s">
        <v>510</v>
      </c>
      <c r="E414" t="s">
        <v>508</v>
      </c>
      <c r="F414" s="4">
        <v>110000</v>
      </c>
      <c r="G414" s="4">
        <v>151000</v>
      </c>
      <c r="H414" s="4">
        <f t="shared" si="6"/>
        <v>130500</v>
      </c>
      <c r="I414">
        <v>0</v>
      </c>
      <c r="J414">
        <v>0</v>
      </c>
      <c r="K414">
        <v>0</v>
      </c>
      <c r="L414">
        <v>0</v>
      </c>
      <c r="M414">
        <v>1</v>
      </c>
    </row>
    <row r="415" spans="1:13" x14ac:dyDescent="0.25">
      <c r="A415" t="s">
        <v>0</v>
      </c>
      <c r="B415" s="5">
        <v>3</v>
      </c>
      <c r="C415" t="s">
        <v>520</v>
      </c>
      <c r="D415" t="s">
        <v>510</v>
      </c>
      <c r="E415" t="s">
        <v>508</v>
      </c>
      <c r="F415" s="4">
        <v>110000</v>
      </c>
      <c r="G415" s="4">
        <v>151000</v>
      </c>
      <c r="H415" s="4">
        <f t="shared" si="6"/>
        <v>130500</v>
      </c>
      <c r="I415">
        <v>0</v>
      </c>
      <c r="J415">
        <v>0</v>
      </c>
      <c r="K415">
        <v>0</v>
      </c>
      <c r="L415">
        <v>0</v>
      </c>
      <c r="M415">
        <v>1</v>
      </c>
    </row>
    <row r="416" spans="1:13" x14ac:dyDescent="0.25">
      <c r="A416" t="s">
        <v>0</v>
      </c>
      <c r="B416" s="5">
        <v>3</v>
      </c>
      <c r="C416" t="s">
        <v>520</v>
      </c>
      <c r="D416" t="s">
        <v>510</v>
      </c>
      <c r="E416" t="s">
        <v>508</v>
      </c>
      <c r="F416" s="4">
        <v>110000</v>
      </c>
      <c r="G416" s="4">
        <v>151000</v>
      </c>
      <c r="H416" s="4">
        <f t="shared" si="6"/>
        <v>130500</v>
      </c>
      <c r="I416">
        <v>0</v>
      </c>
      <c r="J416">
        <v>0</v>
      </c>
      <c r="K416">
        <v>0</v>
      </c>
      <c r="L416">
        <v>0</v>
      </c>
      <c r="M416">
        <v>1</v>
      </c>
    </row>
    <row r="417" spans="1:13" x14ac:dyDescent="0.25">
      <c r="A417" t="s">
        <v>0</v>
      </c>
      <c r="B417" s="5">
        <v>3</v>
      </c>
      <c r="C417" t="s">
        <v>520</v>
      </c>
      <c r="D417" t="s">
        <v>510</v>
      </c>
      <c r="E417" t="s">
        <v>508</v>
      </c>
      <c r="F417" s="4">
        <v>110000</v>
      </c>
      <c r="G417" s="4">
        <v>151000</v>
      </c>
      <c r="H417" s="4">
        <f t="shared" si="6"/>
        <v>130500</v>
      </c>
      <c r="I417">
        <v>0</v>
      </c>
      <c r="J417">
        <v>0</v>
      </c>
      <c r="K417">
        <v>0</v>
      </c>
      <c r="L417">
        <v>0</v>
      </c>
      <c r="M417">
        <v>1</v>
      </c>
    </row>
    <row r="418" spans="1:13" x14ac:dyDescent="0.25">
      <c r="A418" t="s">
        <v>0</v>
      </c>
      <c r="B418" s="5">
        <v>3</v>
      </c>
      <c r="C418" t="s">
        <v>520</v>
      </c>
      <c r="D418" t="s">
        <v>510</v>
      </c>
      <c r="E418" t="s">
        <v>508</v>
      </c>
      <c r="F418" s="4">
        <v>110000</v>
      </c>
      <c r="G418" s="4">
        <v>151000</v>
      </c>
      <c r="H418" s="4">
        <f t="shared" si="6"/>
        <v>130500</v>
      </c>
      <c r="I418">
        <v>0</v>
      </c>
      <c r="J418">
        <v>0</v>
      </c>
      <c r="K418">
        <v>0</v>
      </c>
      <c r="L418">
        <v>0</v>
      </c>
      <c r="M418">
        <v>1</v>
      </c>
    </row>
    <row r="419" spans="1:13" x14ac:dyDescent="0.25">
      <c r="A419" t="s">
        <v>0</v>
      </c>
      <c r="B419" s="5">
        <v>3</v>
      </c>
      <c r="C419" t="s">
        <v>520</v>
      </c>
      <c r="D419" t="s">
        <v>510</v>
      </c>
      <c r="E419" t="s">
        <v>508</v>
      </c>
      <c r="F419" s="4">
        <v>110000</v>
      </c>
      <c r="G419" s="4">
        <v>151000</v>
      </c>
      <c r="H419" s="4">
        <f t="shared" si="6"/>
        <v>130500</v>
      </c>
      <c r="I419">
        <v>0</v>
      </c>
      <c r="J419">
        <v>0</v>
      </c>
      <c r="K419">
        <v>0</v>
      </c>
      <c r="L419">
        <v>0</v>
      </c>
      <c r="M419">
        <v>1</v>
      </c>
    </row>
    <row r="420" spans="1:13" x14ac:dyDescent="0.25">
      <c r="A420" t="s">
        <v>0</v>
      </c>
      <c r="B420" s="5">
        <v>3</v>
      </c>
      <c r="C420" t="s">
        <v>520</v>
      </c>
      <c r="D420" t="s">
        <v>510</v>
      </c>
      <c r="E420" t="s">
        <v>508</v>
      </c>
      <c r="F420" s="4">
        <v>110000</v>
      </c>
      <c r="G420" s="4">
        <v>151000</v>
      </c>
      <c r="H420" s="4">
        <f t="shared" si="6"/>
        <v>130500</v>
      </c>
      <c r="I420">
        <v>0</v>
      </c>
      <c r="J420">
        <v>0</v>
      </c>
      <c r="K420">
        <v>0</v>
      </c>
      <c r="L420">
        <v>0</v>
      </c>
      <c r="M420">
        <v>1</v>
      </c>
    </row>
    <row r="421" spans="1:13" x14ac:dyDescent="0.25">
      <c r="A421" t="s">
        <v>0</v>
      </c>
      <c r="B421" s="5">
        <v>3</v>
      </c>
      <c r="C421" t="s">
        <v>520</v>
      </c>
      <c r="D421" t="s">
        <v>510</v>
      </c>
      <c r="E421" t="s">
        <v>508</v>
      </c>
      <c r="F421" s="4">
        <v>110000</v>
      </c>
      <c r="G421" s="4">
        <v>151000</v>
      </c>
      <c r="H421" s="4">
        <f t="shared" si="6"/>
        <v>130500</v>
      </c>
      <c r="I421">
        <v>0</v>
      </c>
      <c r="J421">
        <v>0</v>
      </c>
      <c r="K421">
        <v>0</v>
      </c>
      <c r="L421">
        <v>0</v>
      </c>
      <c r="M421">
        <v>1</v>
      </c>
    </row>
    <row r="422" spans="1:13" x14ac:dyDescent="0.25">
      <c r="A422" t="s">
        <v>0</v>
      </c>
      <c r="B422" s="5">
        <v>3</v>
      </c>
      <c r="C422" t="s">
        <v>520</v>
      </c>
      <c r="D422" t="s">
        <v>510</v>
      </c>
      <c r="E422" t="s">
        <v>508</v>
      </c>
      <c r="F422" s="4">
        <v>110000</v>
      </c>
      <c r="G422" s="4">
        <v>151000</v>
      </c>
      <c r="H422" s="4">
        <f t="shared" si="6"/>
        <v>130500</v>
      </c>
      <c r="I422">
        <v>0</v>
      </c>
      <c r="J422">
        <v>0</v>
      </c>
      <c r="K422">
        <v>0</v>
      </c>
      <c r="L422">
        <v>0</v>
      </c>
      <c r="M422">
        <v>1</v>
      </c>
    </row>
    <row r="423" spans="1:13" x14ac:dyDescent="0.25">
      <c r="A423" t="s">
        <v>0</v>
      </c>
      <c r="B423" s="5">
        <v>3</v>
      </c>
      <c r="C423" t="s">
        <v>520</v>
      </c>
      <c r="D423" t="s">
        <v>510</v>
      </c>
      <c r="E423" t="s">
        <v>508</v>
      </c>
      <c r="F423" s="4">
        <v>110000</v>
      </c>
      <c r="G423" s="4">
        <v>151000</v>
      </c>
      <c r="H423" s="4">
        <f t="shared" si="6"/>
        <v>130500</v>
      </c>
      <c r="I423">
        <v>0</v>
      </c>
      <c r="J423">
        <v>0</v>
      </c>
      <c r="K423">
        <v>0</v>
      </c>
      <c r="L423">
        <v>0</v>
      </c>
      <c r="M423">
        <v>1</v>
      </c>
    </row>
    <row r="424" spans="1:13" x14ac:dyDescent="0.25">
      <c r="A424" t="s">
        <v>0</v>
      </c>
      <c r="B424" s="5">
        <v>3</v>
      </c>
      <c r="C424" t="s">
        <v>520</v>
      </c>
      <c r="D424" t="s">
        <v>510</v>
      </c>
      <c r="E424" t="s">
        <v>508</v>
      </c>
      <c r="F424" s="4">
        <v>110000</v>
      </c>
      <c r="G424" s="4">
        <v>151000</v>
      </c>
      <c r="H424" s="4">
        <f t="shared" si="6"/>
        <v>130500</v>
      </c>
      <c r="I424">
        <v>0</v>
      </c>
      <c r="J424">
        <v>0</v>
      </c>
      <c r="K424">
        <v>0</v>
      </c>
      <c r="L424">
        <v>0</v>
      </c>
      <c r="M424">
        <v>1</v>
      </c>
    </row>
    <row r="425" spans="1:13" x14ac:dyDescent="0.25">
      <c r="A425" t="s">
        <v>0</v>
      </c>
      <c r="B425" s="5">
        <v>3</v>
      </c>
      <c r="C425" t="s">
        <v>520</v>
      </c>
      <c r="D425" t="s">
        <v>510</v>
      </c>
      <c r="E425" t="s">
        <v>508</v>
      </c>
      <c r="F425" s="4">
        <v>110000</v>
      </c>
      <c r="G425" s="4">
        <v>151000</v>
      </c>
      <c r="H425" s="4">
        <f t="shared" si="6"/>
        <v>130500</v>
      </c>
      <c r="I425">
        <v>0</v>
      </c>
      <c r="J425">
        <v>0</v>
      </c>
      <c r="K425">
        <v>0</v>
      </c>
      <c r="L425">
        <v>0</v>
      </c>
      <c r="M425">
        <v>1</v>
      </c>
    </row>
    <row r="426" spans="1:13" x14ac:dyDescent="0.25">
      <c r="A426" t="s">
        <v>0</v>
      </c>
      <c r="B426" s="5">
        <v>3</v>
      </c>
      <c r="C426" t="s">
        <v>520</v>
      </c>
      <c r="D426" t="s">
        <v>510</v>
      </c>
      <c r="E426" t="s">
        <v>508</v>
      </c>
      <c r="F426" s="4">
        <v>110000</v>
      </c>
      <c r="G426" s="4">
        <v>151000</v>
      </c>
      <c r="H426" s="4">
        <f t="shared" si="6"/>
        <v>130500</v>
      </c>
      <c r="I426">
        <v>0</v>
      </c>
      <c r="J426">
        <v>0</v>
      </c>
      <c r="K426">
        <v>0</v>
      </c>
      <c r="L426">
        <v>0</v>
      </c>
      <c r="M426">
        <v>1</v>
      </c>
    </row>
    <row r="427" spans="1:13" x14ac:dyDescent="0.25">
      <c r="A427" t="s">
        <v>0</v>
      </c>
      <c r="B427" s="5">
        <v>3</v>
      </c>
      <c r="C427" t="s">
        <v>520</v>
      </c>
      <c r="D427" t="s">
        <v>510</v>
      </c>
      <c r="E427" t="s">
        <v>508</v>
      </c>
      <c r="F427" s="4">
        <v>110000</v>
      </c>
      <c r="G427" s="4">
        <v>151000</v>
      </c>
      <c r="H427" s="4">
        <f t="shared" si="6"/>
        <v>130500</v>
      </c>
      <c r="I427">
        <v>0</v>
      </c>
      <c r="J427">
        <v>0</v>
      </c>
      <c r="K427">
        <v>0</v>
      </c>
      <c r="L427">
        <v>0</v>
      </c>
      <c r="M427">
        <v>1</v>
      </c>
    </row>
    <row r="428" spans="1:13" x14ac:dyDescent="0.25">
      <c r="A428" t="s">
        <v>0</v>
      </c>
      <c r="B428" s="5">
        <v>4</v>
      </c>
      <c r="C428" t="s">
        <v>521</v>
      </c>
      <c r="D428" t="s">
        <v>510</v>
      </c>
      <c r="E428" t="s">
        <v>508</v>
      </c>
      <c r="F428" s="4">
        <v>109000</v>
      </c>
      <c r="G428" s="4">
        <v>144000</v>
      </c>
      <c r="H428" s="4">
        <f t="shared" si="6"/>
        <v>126500</v>
      </c>
      <c r="I428">
        <v>0</v>
      </c>
      <c r="J428">
        <v>0</v>
      </c>
      <c r="K428">
        <v>0</v>
      </c>
      <c r="L428">
        <v>0</v>
      </c>
      <c r="M428">
        <v>1</v>
      </c>
    </row>
    <row r="429" spans="1:13" x14ac:dyDescent="0.25">
      <c r="A429" t="s">
        <v>522</v>
      </c>
      <c r="B429" s="5">
        <v>3.6</v>
      </c>
      <c r="C429" t="s">
        <v>523</v>
      </c>
      <c r="D429" t="s">
        <v>510</v>
      </c>
      <c r="E429" t="s">
        <v>508</v>
      </c>
      <c r="F429" s="4">
        <v>100000</v>
      </c>
      <c r="G429" s="4">
        <v>136000</v>
      </c>
      <c r="H429" s="4">
        <f t="shared" si="6"/>
        <v>118000</v>
      </c>
      <c r="I429">
        <v>0</v>
      </c>
      <c r="J429">
        <v>0</v>
      </c>
      <c r="K429">
        <v>0</v>
      </c>
      <c r="L429">
        <v>0</v>
      </c>
      <c r="M429">
        <v>1</v>
      </c>
    </row>
    <row r="430" spans="1:13" x14ac:dyDescent="0.25">
      <c r="A430" t="s">
        <v>524</v>
      </c>
      <c r="B430" s="5">
        <v>3.8</v>
      </c>
      <c r="C430" t="s">
        <v>525</v>
      </c>
      <c r="D430" t="s">
        <v>510</v>
      </c>
      <c r="E430" t="s">
        <v>508</v>
      </c>
      <c r="F430" s="4">
        <v>97000</v>
      </c>
      <c r="G430" s="4">
        <v>150000</v>
      </c>
      <c r="H430" s="4">
        <f t="shared" si="6"/>
        <v>123500</v>
      </c>
      <c r="I430">
        <v>0</v>
      </c>
      <c r="J430">
        <v>0</v>
      </c>
      <c r="K430">
        <v>0</v>
      </c>
      <c r="L430">
        <v>0</v>
      </c>
      <c r="M430">
        <v>1</v>
      </c>
    </row>
    <row r="431" spans="1:13" x14ac:dyDescent="0.25">
      <c r="A431" t="s">
        <v>0</v>
      </c>
      <c r="B431" s="5">
        <v>4</v>
      </c>
      <c r="C431" t="s">
        <v>526</v>
      </c>
      <c r="D431" t="s">
        <v>510</v>
      </c>
      <c r="E431" t="s">
        <v>508</v>
      </c>
      <c r="F431" s="4">
        <v>97000</v>
      </c>
      <c r="G431" s="4">
        <v>198000</v>
      </c>
      <c r="H431" s="4">
        <f t="shared" si="6"/>
        <v>147500</v>
      </c>
      <c r="I431">
        <v>0</v>
      </c>
      <c r="J431">
        <v>0</v>
      </c>
      <c r="K431">
        <v>0</v>
      </c>
      <c r="L431">
        <v>0</v>
      </c>
      <c r="M431">
        <v>1</v>
      </c>
    </row>
    <row r="432" spans="1:13" x14ac:dyDescent="0.25">
      <c r="A432" t="s">
        <v>0</v>
      </c>
      <c r="B432" s="5">
        <v>4.2</v>
      </c>
      <c r="C432" t="s">
        <v>527</v>
      </c>
      <c r="D432" t="s">
        <v>510</v>
      </c>
      <c r="E432" t="s">
        <v>508</v>
      </c>
      <c r="F432" s="4">
        <v>96000</v>
      </c>
      <c r="G432" s="4">
        <v>132000</v>
      </c>
      <c r="H432" s="4">
        <f t="shared" si="6"/>
        <v>114000</v>
      </c>
      <c r="I432">
        <v>0</v>
      </c>
      <c r="J432">
        <v>0</v>
      </c>
      <c r="K432">
        <v>1</v>
      </c>
      <c r="L432">
        <v>0</v>
      </c>
      <c r="M432">
        <v>1</v>
      </c>
    </row>
    <row r="433" spans="1:13" x14ac:dyDescent="0.25">
      <c r="A433" t="s">
        <v>528</v>
      </c>
      <c r="B433" s="5">
        <v>4.0999999999999996</v>
      </c>
      <c r="C433" t="s">
        <v>348</v>
      </c>
      <c r="D433" t="s">
        <v>510</v>
      </c>
      <c r="E433" t="s">
        <v>508</v>
      </c>
      <c r="F433" s="4">
        <v>60320</v>
      </c>
      <c r="G433" s="4">
        <v>104000</v>
      </c>
      <c r="H433" s="4">
        <f t="shared" si="6"/>
        <v>82160</v>
      </c>
      <c r="I433">
        <v>0</v>
      </c>
      <c r="J433">
        <v>0</v>
      </c>
      <c r="K433">
        <v>0</v>
      </c>
      <c r="L433">
        <v>0</v>
      </c>
      <c r="M433">
        <v>1</v>
      </c>
    </row>
    <row r="434" spans="1:13" x14ac:dyDescent="0.25">
      <c r="A434" t="s">
        <v>529</v>
      </c>
      <c r="B434" s="5">
        <v>3.9</v>
      </c>
      <c r="C434" t="s">
        <v>530</v>
      </c>
      <c r="D434" t="s">
        <v>531</v>
      </c>
      <c r="E434" t="s">
        <v>508</v>
      </c>
      <c r="F434" s="4">
        <v>89000</v>
      </c>
      <c r="G434" s="4">
        <v>124000</v>
      </c>
      <c r="H434" s="4">
        <f t="shared" si="6"/>
        <v>106500</v>
      </c>
      <c r="I434">
        <v>0</v>
      </c>
      <c r="J434">
        <v>0</v>
      </c>
      <c r="K434">
        <v>0</v>
      </c>
      <c r="L434">
        <v>0</v>
      </c>
      <c r="M434">
        <v>1</v>
      </c>
    </row>
    <row r="435" spans="1:13" x14ac:dyDescent="0.25">
      <c r="A435" t="s">
        <v>532</v>
      </c>
      <c r="B435" s="5">
        <v>3.7</v>
      </c>
      <c r="C435" t="s">
        <v>533</v>
      </c>
      <c r="D435" t="s">
        <v>534</v>
      </c>
      <c r="E435" t="s">
        <v>508</v>
      </c>
      <c r="F435" s="4">
        <v>116000</v>
      </c>
      <c r="G435" s="4">
        <v>169000</v>
      </c>
      <c r="H435" s="4">
        <f t="shared" si="6"/>
        <v>142500</v>
      </c>
      <c r="I435">
        <v>0</v>
      </c>
      <c r="J435">
        <v>1</v>
      </c>
      <c r="K435">
        <v>0</v>
      </c>
      <c r="L435">
        <v>0</v>
      </c>
      <c r="M435">
        <v>1</v>
      </c>
    </row>
    <row r="436" spans="1:13" x14ac:dyDescent="0.25">
      <c r="A436" t="s">
        <v>0</v>
      </c>
      <c r="B436" s="5">
        <v>4</v>
      </c>
      <c r="C436" t="s">
        <v>535</v>
      </c>
      <c r="D436" t="s">
        <v>534</v>
      </c>
      <c r="E436" t="s">
        <v>508</v>
      </c>
      <c r="F436" s="4">
        <v>99000</v>
      </c>
      <c r="G436" s="4">
        <v>137000</v>
      </c>
      <c r="H436" s="4">
        <f t="shared" si="6"/>
        <v>118000</v>
      </c>
      <c r="I436">
        <v>0</v>
      </c>
      <c r="J436">
        <v>0</v>
      </c>
      <c r="K436">
        <v>0</v>
      </c>
      <c r="L436">
        <v>0</v>
      </c>
      <c r="M436">
        <v>1</v>
      </c>
    </row>
    <row r="437" spans="1:13" x14ac:dyDescent="0.25">
      <c r="A437" t="s">
        <v>536</v>
      </c>
      <c r="B437" s="5">
        <v>4.5</v>
      </c>
      <c r="C437" t="s">
        <v>537</v>
      </c>
      <c r="D437" t="s">
        <v>534</v>
      </c>
      <c r="E437" t="s">
        <v>508</v>
      </c>
      <c r="F437" s="4">
        <v>83000</v>
      </c>
      <c r="G437" s="4">
        <v>129000</v>
      </c>
      <c r="H437" s="4">
        <f t="shared" si="6"/>
        <v>106000</v>
      </c>
      <c r="I437">
        <v>0</v>
      </c>
      <c r="J437">
        <v>0</v>
      </c>
      <c r="K437">
        <v>0</v>
      </c>
      <c r="L437">
        <v>0</v>
      </c>
      <c r="M437">
        <v>1</v>
      </c>
    </row>
    <row r="438" spans="1:13" x14ac:dyDescent="0.25">
      <c r="A438" t="s">
        <v>538</v>
      </c>
      <c r="B438" s="5">
        <v>4.2</v>
      </c>
      <c r="C438" t="s">
        <v>539</v>
      </c>
      <c r="D438" t="s">
        <v>540</v>
      </c>
      <c r="E438" t="s">
        <v>508</v>
      </c>
      <c r="F438" s="4">
        <v>67000</v>
      </c>
      <c r="G438" s="4">
        <v>92000</v>
      </c>
      <c r="H438" s="4">
        <f t="shared" si="6"/>
        <v>79500</v>
      </c>
      <c r="I438">
        <v>0</v>
      </c>
      <c r="J438">
        <v>0</v>
      </c>
      <c r="K438">
        <v>0</v>
      </c>
      <c r="L438">
        <v>0</v>
      </c>
      <c r="M438">
        <v>1</v>
      </c>
    </row>
    <row r="439" spans="1:13" x14ac:dyDescent="0.25">
      <c r="A439" t="s">
        <v>541</v>
      </c>
      <c r="B439" s="5">
        <v>3.6</v>
      </c>
      <c r="C439" t="s">
        <v>542</v>
      </c>
      <c r="D439" t="s">
        <v>543</v>
      </c>
      <c r="E439" t="s">
        <v>508</v>
      </c>
      <c r="F439" s="4">
        <v>86000</v>
      </c>
      <c r="G439" s="4">
        <v>117000</v>
      </c>
      <c r="H439" s="4">
        <f t="shared" si="6"/>
        <v>101500</v>
      </c>
      <c r="I439">
        <v>0</v>
      </c>
      <c r="J439">
        <v>0</v>
      </c>
      <c r="K439">
        <v>0</v>
      </c>
      <c r="L439">
        <v>0</v>
      </c>
      <c r="M439">
        <v>1</v>
      </c>
    </row>
    <row r="440" spans="1:13" x14ac:dyDescent="0.25">
      <c r="A440" t="s">
        <v>544</v>
      </c>
      <c r="B440" s="5">
        <v>1</v>
      </c>
      <c r="C440" t="s">
        <v>545</v>
      </c>
      <c r="D440" t="s">
        <v>546</v>
      </c>
      <c r="E440" t="s">
        <v>508</v>
      </c>
      <c r="F440" s="4">
        <v>113000</v>
      </c>
      <c r="G440" s="4">
        <v>159000</v>
      </c>
      <c r="H440" s="4">
        <f t="shared" si="6"/>
        <v>136000</v>
      </c>
      <c r="I440">
        <v>0</v>
      </c>
      <c r="J440">
        <v>0</v>
      </c>
      <c r="K440">
        <v>1</v>
      </c>
      <c r="L440">
        <v>0</v>
      </c>
      <c r="M440">
        <v>1</v>
      </c>
    </row>
    <row r="441" spans="1:13" x14ac:dyDescent="0.25">
      <c r="A441" t="s">
        <v>547</v>
      </c>
      <c r="B441" s="5">
        <v>4.2</v>
      </c>
      <c r="C441" t="s">
        <v>113</v>
      </c>
      <c r="D441" t="s">
        <v>546</v>
      </c>
      <c r="E441" t="s">
        <v>508</v>
      </c>
      <c r="F441" s="4">
        <v>104000</v>
      </c>
      <c r="G441" s="4">
        <v>135200</v>
      </c>
      <c r="H441" s="4">
        <f t="shared" si="6"/>
        <v>119600</v>
      </c>
      <c r="I441">
        <v>0</v>
      </c>
      <c r="J441">
        <v>0</v>
      </c>
      <c r="K441">
        <v>0</v>
      </c>
      <c r="L441">
        <v>0</v>
      </c>
      <c r="M441">
        <v>1</v>
      </c>
    </row>
    <row r="442" spans="1:13" x14ac:dyDescent="0.25">
      <c r="A442" t="s">
        <v>30</v>
      </c>
      <c r="B442" s="5">
        <v>3.1</v>
      </c>
      <c r="C442" t="s">
        <v>548</v>
      </c>
      <c r="D442" t="s">
        <v>546</v>
      </c>
      <c r="E442" t="s">
        <v>508</v>
      </c>
      <c r="F442" s="4">
        <v>90000</v>
      </c>
      <c r="G442" s="4">
        <v>139000</v>
      </c>
      <c r="H442" s="4">
        <f t="shared" si="6"/>
        <v>114500</v>
      </c>
      <c r="I442">
        <v>0</v>
      </c>
      <c r="J442">
        <v>0</v>
      </c>
      <c r="K442">
        <v>0</v>
      </c>
      <c r="L442">
        <v>0</v>
      </c>
      <c r="M442">
        <v>1</v>
      </c>
    </row>
    <row r="443" spans="1:13" x14ac:dyDescent="0.25">
      <c r="A443" t="s">
        <v>30</v>
      </c>
      <c r="B443" s="5">
        <v>3.1</v>
      </c>
      <c r="C443" t="s">
        <v>548</v>
      </c>
      <c r="D443" t="s">
        <v>546</v>
      </c>
      <c r="E443" t="s">
        <v>508</v>
      </c>
      <c r="F443" s="4">
        <v>90000</v>
      </c>
      <c r="G443" s="4">
        <v>139000</v>
      </c>
      <c r="H443" s="4">
        <f t="shared" si="6"/>
        <v>114500</v>
      </c>
      <c r="I443">
        <v>0</v>
      </c>
      <c r="J443">
        <v>0</v>
      </c>
      <c r="K443">
        <v>0</v>
      </c>
      <c r="L443">
        <v>0</v>
      </c>
      <c r="M443">
        <v>1</v>
      </c>
    </row>
    <row r="444" spans="1:13" x14ac:dyDescent="0.25">
      <c r="A444" t="s">
        <v>30</v>
      </c>
      <c r="B444" s="5">
        <v>3.1</v>
      </c>
      <c r="C444" t="s">
        <v>548</v>
      </c>
      <c r="D444" t="s">
        <v>546</v>
      </c>
      <c r="E444" t="s">
        <v>508</v>
      </c>
      <c r="F444" s="4">
        <v>90000</v>
      </c>
      <c r="G444" s="4">
        <v>139000</v>
      </c>
      <c r="H444" s="4">
        <f t="shared" si="6"/>
        <v>114500</v>
      </c>
      <c r="I444">
        <v>0</v>
      </c>
      <c r="J444">
        <v>0</v>
      </c>
      <c r="K444">
        <v>0</v>
      </c>
      <c r="L444">
        <v>0</v>
      </c>
      <c r="M444">
        <v>1</v>
      </c>
    </row>
    <row r="445" spans="1:13" x14ac:dyDescent="0.25">
      <c r="A445" t="s">
        <v>30</v>
      </c>
      <c r="B445" s="5">
        <v>3.1</v>
      </c>
      <c r="C445" t="s">
        <v>548</v>
      </c>
      <c r="D445" t="s">
        <v>546</v>
      </c>
      <c r="E445" t="s">
        <v>508</v>
      </c>
      <c r="F445" s="4">
        <v>90000</v>
      </c>
      <c r="G445" s="4">
        <v>139000</v>
      </c>
      <c r="H445" s="4">
        <f t="shared" si="6"/>
        <v>114500</v>
      </c>
      <c r="I445">
        <v>0</v>
      </c>
      <c r="J445">
        <v>0</v>
      </c>
      <c r="K445">
        <v>0</v>
      </c>
      <c r="L445">
        <v>0</v>
      </c>
      <c r="M445">
        <v>1</v>
      </c>
    </row>
    <row r="446" spans="1:13" x14ac:dyDescent="0.25">
      <c r="A446" t="s">
        <v>30</v>
      </c>
      <c r="B446" s="5">
        <v>3.1</v>
      </c>
      <c r="C446" t="s">
        <v>548</v>
      </c>
      <c r="D446" t="s">
        <v>546</v>
      </c>
      <c r="E446" t="s">
        <v>508</v>
      </c>
      <c r="F446" s="4">
        <v>90000</v>
      </c>
      <c r="G446" s="4">
        <v>139000</v>
      </c>
      <c r="H446" s="4">
        <f t="shared" si="6"/>
        <v>114500</v>
      </c>
      <c r="I446">
        <v>0</v>
      </c>
      <c r="J446">
        <v>0</v>
      </c>
      <c r="K446">
        <v>0</v>
      </c>
      <c r="L446">
        <v>0</v>
      </c>
      <c r="M446">
        <v>1</v>
      </c>
    </row>
    <row r="447" spans="1:13" x14ac:dyDescent="0.25">
      <c r="A447" t="s">
        <v>30</v>
      </c>
      <c r="B447" s="5">
        <v>3.1</v>
      </c>
      <c r="C447" t="s">
        <v>548</v>
      </c>
      <c r="D447" t="s">
        <v>546</v>
      </c>
      <c r="E447" t="s">
        <v>508</v>
      </c>
      <c r="F447" s="4">
        <v>90000</v>
      </c>
      <c r="G447" s="4">
        <v>139000</v>
      </c>
      <c r="H447" s="4">
        <f t="shared" si="6"/>
        <v>114500</v>
      </c>
      <c r="I447">
        <v>0</v>
      </c>
      <c r="J447">
        <v>0</v>
      </c>
      <c r="K447">
        <v>0</v>
      </c>
      <c r="L447">
        <v>0</v>
      </c>
      <c r="M447">
        <v>1</v>
      </c>
    </row>
    <row r="448" spans="1:13" x14ac:dyDescent="0.25">
      <c r="A448" t="s">
        <v>30</v>
      </c>
      <c r="B448" s="5">
        <v>3.1</v>
      </c>
      <c r="C448" t="s">
        <v>548</v>
      </c>
      <c r="D448" t="s">
        <v>546</v>
      </c>
      <c r="E448" t="s">
        <v>508</v>
      </c>
      <c r="F448" s="4">
        <v>90000</v>
      </c>
      <c r="G448" s="4">
        <v>139000</v>
      </c>
      <c r="H448" s="4">
        <f t="shared" si="6"/>
        <v>114500</v>
      </c>
      <c r="I448">
        <v>0</v>
      </c>
      <c r="J448">
        <v>0</v>
      </c>
      <c r="K448">
        <v>0</v>
      </c>
      <c r="L448">
        <v>0</v>
      </c>
      <c r="M448">
        <v>1</v>
      </c>
    </row>
    <row r="449" spans="1:13" x14ac:dyDescent="0.25">
      <c r="A449" t="s">
        <v>30</v>
      </c>
      <c r="B449" s="5">
        <v>3.1</v>
      </c>
      <c r="C449" t="s">
        <v>548</v>
      </c>
      <c r="D449" t="s">
        <v>546</v>
      </c>
      <c r="E449" t="s">
        <v>508</v>
      </c>
      <c r="F449" s="4">
        <v>90000</v>
      </c>
      <c r="G449" s="4">
        <v>139000</v>
      </c>
      <c r="H449" s="4">
        <f t="shared" si="6"/>
        <v>114500</v>
      </c>
      <c r="I449">
        <v>0</v>
      </c>
      <c r="J449">
        <v>0</v>
      </c>
      <c r="K449">
        <v>0</v>
      </c>
      <c r="L449">
        <v>0</v>
      </c>
      <c r="M449">
        <v>1</v>
      </c>
    </row>
    <row r="450" spans="1:13" x14ac:dyDescent="0.25">
      <c r="A450" t="s">
        <v>30</v>
      </c>
      <c r="B450" s="5">
        <v>3.1</v>
      </c>
      <c r="C450" t="s">
        <v>548</v>
      </c>
      <c r="D450" t="s">
        <v>546</v>
      </c>
      <c r="E450" t="s">
        <v>508</v>
      </c>
      <c r="F450" s="4">
        <v>90000</v>
      </c>
      <c r="G450" s="4">
        <v>139000</v>
      </c>
      <c r="H450" s="4">
        <f t="shared" si="6"/>
        <v>114500</v>
      </c>
      <c r="I450">
        <v>0</v>
      </c>
      <c r="J450">
        <v>0</v>
      </c>
      <c r="K450">
        <v>0</v>
      </c>
      <c r="L450">
        <v>0</v>
      </c>
      <c r="M450">
        <v>1</v>
      </c>
    </row>
    <row r="451" spans="1:13" x14ac:dyDescent="0.25">
      <c r="A451" t="s">
        <v>30</v>
      </c>
      <c r="B451" s="5">
        <v>3.1</v>
      </c>
      <c r="C451" t="s">
        <v>548</v>
      </c>
      <c r="D451" t="s">
        <v>546</v>
      </c>
      <c r="E451" t="s">
        <v>508</v>
      </c>
      <c r="F451" s="4">
        <v>90000</v>
      </c>
      <c r="G451" s="4">
        <v>139000</v>
      </c>
      <c r="H451" s="4">
        <f t="shared" ref="H451:H514" si="7">(F451+G451)/2</f>
        <v>114500</v>
      </c>
      <c r="I451">
        <v>0</v>
      </c>
      <c r="J451">
        <v>0</v>
      </c>
      <c r="K451">
        <v>0</v>
      </c>
      <c r="L451">
        <v>0</v>
      </c>
      <c r="M451">
        <v>1</v>
      </c>
    </row>
    <row r="452" spans="1:13" x14ac:dyDescent="0.25">
      <c r="A452" t="s">
        <v>30</v>
      </c>
      <c r="B452" s="5">
        <v>3.1</v>
      </c>
      <c r="C452" t="s">
        <v>548</v>
      </c>
      <c r="D452" t="s">
        <v>546</v>
      </c>
      <c r="E452" t="s">
        <v>508</v>
      </c>
      <c r="F452" s="4">
        <v>90000</v>
      </c>
      <c r="G452" s="4">
        <v>139000</v>
      </c>
      <c r="H452" s="4">
        <f t="shared" si="7"/>
        <v>114500</v>
      </c>
      <c r="I452">
        <v>0</v>
      </c>
      <c r="J452">
        <v>0</v>
      </c>
      <c r="K452">
        <v>0</v>
      </c>
      <c r="L452">
        <v>0</v>
      </c>
      <c r="M452">
        <v>1</v>
      </c>
    </row>
    <row r="453" spans="1:13" x14ac:dyDescent="0.25">
      <c r="A453" t="s">
        <v>30</v>
      </c>
      <c r="B453" s="5">
        <v>3.1</v>
      </c>
      <c r="C453" t="s">
        <v>548</v>
      </c>
      <c r="D453" t="s">
        <v>546</v>
      </c>
      <c r="E453" t="s">
        <v>508</v>
      </c>
      <c r="F453" s="4">
        <v>90000</v>
      </c>
      <c r="G453" s="4">
        <v>139000</v>
      </c>
      <c r="H453" s="4">
        <f t="shared" si="7"/>
        <v>114500</v>
      </c>
      <c r="I453">
        <v>0</v>
      </c>
      <c r="J453">
        <v>0</v>
      </c>
      <c r="K453">
        <v>0</v>
      </c>
      <c r="L453">
        <v>0</v>
      </c>
      <c r="M453">
        <v>1</v>
      </c>
    </row>
    <row r="454" spans="1:13" x14ac:dyDescent="0.25">
      <c r="A454" t="s">
        <v>30</v>
      </c>
      <c r="B454" s="5">
        <v>3.1</v>
      </c>
      <c r="C454" t="s">
        <v>548</v>
      </c>
      <c r="D454" t="s">
        <v>546</v>
      </c>
      <c r="E454" t="s">
        <v>508</v>
      </c>
      <c r="F454" s="4">
        <v>90000</v>
      </c>
      <c r="G454" s="4">
        <v>139000</v>
      </c>
      <c r="H454" s="4">
        <f t="shared" si="7"/>
        <v>114500</v>
      </c>
      <c r="I454">
        <v>0</v>
      </c>
      <c r="J454">
        <v>0</v>
      </c>
      <c r="K454">
        <v>0</v>
      </c>
      <c r="L454">
        <v>0</v>
      </c>
      <c r="M454">
        <v>1</v>
      </c>
    </row>
    <row r="455" spans="1:13" x14ac:dyDescent="0.25">
      <c r="A455" t="s">
        <v>30</v>
      </c>
      <c r="B455" s="5">
        <v>3.1</v>
      </c>
      <c r="C455" t="s">
        <v>548</v>
      </c>
      <c r="D455" t="s">
        <v>546</v>
      </c>
      <c r="E455" t="s">
        <v>508</v>
      </c>
      <c r="F455" s="4">
        <v>90000</v>
      </c>
      <c r="G455" s="4">
        <v>139000</v>
      </c>
      <c r="H455" s="4">
        <f t="shared" si="7"/>
        <v>114500</v>
      </c>
      <c r="I455">
        <v>0</v>
      </c>
      <c r="J455">
        <v>0</v>
      </c>
      <c r="K455">
        <v>0</v>
      </c>
      <c r="L455">
        <v>0</v>
      </c>
      <c r="M455">
        <v>1</v>
      </c>
    </row>
    <row r="456" spans="1:13" x14ac:dyDescent="0.25">
      <c r="A456" t="s">
        <v>30</v>
      </c>
      <c r="B456" s="5">
        <v>3.1</v>
      </c>
      <c r="C456" t="s">
        <v>548</v>
      </c>
      <c r="D456" t="s">
        <v>546</v>
      </c>
      <c r="E456" t="s">
        <v>508</v>
      </c>
      <c r="F456" s="4">
        <v>90000</v>
      </c>
      <c r="G456" s="4">
        <v>139000</v>
      </c>
      <c r="H456" s="4">
        <f t="shared" si="7"/>
        <v>114500</v>
      </c>
      <c r="I456">
        <v>0</v>
      </c>
      <c r="J456">
        <v>0</v>
      </c>
      <c r="K456">
        <v>0</v>
      </c>
      <c r="L456">
        <v>0</v>
      </c>
      <c r="M456">
        <v>1</v>
      </c>
    </row>
    <row r="457" spans="1:13" x14ac:dyDescent="0.25">
      <c r="A457" t="s">
        <v>30</v>
      </c>
      <c r="B457" s="5">
        <v>3.1</v>
      </c>
      <c r="C457" t="s">
        <v>548</v>
      </c>
      <c r="D457" t="s">
        <v>546</v>
      </c>
      <c r="E457" t="s">
        <v>508</v>
      </c>
      <c r="F457" s="4">
        <v>90000</v>
      </c>
      <c r="G457" s="4">
        <v>139000</v>
      </c>
      <c r="H457" s="4">
        <f t="shared" si="7"/>
        <v>114500</v>
      </c>
      <c r="I457">
        <v>0</v>
      </c>
      <c r="J457">
        <v>0</v>
      </c>
      <c r="K457">
        <v>0</v>
      </c>
      <c r="L457">
        <v>0</v>
      </c>
      <c r="M457">
        <v>1</v>
      </c>
    </row>
    <row r="458" spans="1:13" x14ac:dyDescent="0.25">
      <c r="A458" t="s">
        <v>30</v>
      </c>
      <c r="B458" s="5">
        <v>3.1</v>
      </c>
      <c r="C458" t="s">
        <v>548</v>
      </c>
      <c r="D458" t="s">
        <v>546</v>
      </c>
      <c r="E458" t="s">
        <v>508</v>
      </c>
      <c r="F458" s="4">
        <v>90000</v>
      </c>
      <c r="G458" s="4">
        <v>139000</v>
      </c>
      <c r="H458" s="4">
        <f t="shared" si="7"/>
        <v>114500</v>
      </c>
      <c r="I458">
        <v>0</v>
      </c>
      <c r="J458">
        <v>0</v>
      </c>
      <c r="K458">
        <v>0</v>
      </c>
      <c r="L458">
        <v>0</v>
      </c>
      <c r="M458">
        <v>1</v>
      </c>
    </row>
    <row r="459" spans="1:13" x14ac:dyDescent="0.25">
      <c r="A459" t="s">
        <v>30</v>
      </c>
      <c r="B459" s="5">
        <v>3.1</v>
      </c>
      <c r="C459" t="s">
        <v>548</v>
      </c>
      <c r="D459" t="s">
        <v>546</v>
      </c>
      <c r="E459" t="s">
        <v>508</v>
      </c>
      <c r="F459" s="4">
        <v>90000</v>
      </c>
      <c r="G459" s="4">
        <v>139000</v>
      </c>
      <c r="H459" s="4">
        <f t="shared" si="7"/>
        <v>114500</v>
      </c>
      <c r="I459">
        <v>0</v>
      </c>
      <c r="J459">
        <v>0</v>
      </c>
      <c r="K459">
        <v>0</v>
      </c>
      <c r="L459">
        <v>0</v>
      </c>
      <c r="M459">
        <v>1</v>
      </c>
    </row>
    <row r="460" spans="1:13" x14ac:dyDescent="0.25">
      <c r="A460" t="s">
        <v>549</v>
      </c>
      <c r="B460" s="5">
        <v>3</v>
      </c>
      <c r="C460" t="s">
        <v>550</v>
      </c>
      <c r="D460" t="s">
        <v>551</v>
      </c>
      <c r="E460" t="s">
        <v>508</v>
      </c>
      <c r="F460" s="4">
        <v>112000</v>
      </c>
      <c r="G460" s="4">
        <v>161000</v>
      </c>
      <c r="H460" s="4">
        <f t="shared" si="7"/>
        <v>136500</v>
      </c>
      <c r="I460">
        <v>0</v>
      </c>
      <c r="J460">
        <v>0</v>
      </c>
      <c r="K460">
        <v>0</v>
      </c>
      <c r="L460">
        <v>0</v>
      </c>
      <c r="M460">
        <v>1</v>
      </c>
    </row>
    <row r="461" spans="1:13" x14ac:dyDescent="0.25">
      <c r="A461" t="s">
        <v>0</v>
      </c>
      <c r="B461" s="5">
        <v>3.9</v>
      </c>
      <c r="C461" t="s">
        <v>459</v>
      </c>
      <c r="D461" t="s">
        <v>552</v>
      </c>
      <c r="E461" t="s">
        <v>508</v>
      </c>
      <c r="F461" s="4">
        <v>99000</v>
      </c>
      <c r="G461" s="4">
        <v>135000</v>
      </c>
      <c r="H461" s="4">
        <f t="shared" si="7"/>
        <v>117000</v>
      </c>
      <c r="I461">
        <v>0</v>
      </c>
      <c r="J461">
        <v>0</v>
      </c>
      <c r="K461">
        <v>0</v>
      </c>
      <c r="L461">
        <v>0</v>
      </c>
      <c r="M461">
        <v>1</v>
      </c>
    </row>
    <row r="462" spans="1:13" x14ac:dyDescent="0.25">
      <c r="A462" t="s">
        <v>553</v>
      </c>
      <c r="B462" s="5">
        <v>4.9000000000000004</v>
      </c>
      <c r="C462" t="s">
        <v>554</v>
      </c>
      <c r="D462" t="s">
        <v>555</v>
      </c>
      <c r="E462" t="s">
        <v>556</v>
      </c>
      <c r="F462" s="4">
        <v>109000</v>
      </c>
      <c r="G462" s="4">
        <v>143000</v>
      </c>
      <c r="H462" s="4">
        <f t="shared" si="7"/>
        <v>126000</v>
      </c>
      <c r="I462">
        <v>0</v>
      </c>
      <c r="J462">
        <v>0</v>
      </c>
      <c r="K462">
        <v>0</v>
      </c>
      <c r="L462">
        <v>0</v>
      </c>
      <c r="M462">
        <v>1</v>
      </c>
    </row>
    <row r="463" spans="1:13" x14ac:dyDescent="0.25">
      <c r="A463" t="s">
        <v>0</v>
      </c>
      <c r="B463" s="5">
        <v>4.4000000000000004</v>
      </c>
      <c r="C463" t="s">
        <v>557</v>
      </c>
      <c r="D463" t="s">
        <v>555</v>
      </c>
      <c r="E463" t="s">
        <v>556</v>
      </c>
      <c r="F463" s="4">
        <v>96000</v>
      </c>
      <c r="G463" s="4">
        <v>129000</v>
      </c>
      <c r="H463" s="4">
        <f t="shared" si="7"/>
        <v>112500</v>
      </c>
      <c r="I463">
        <v>0</v>
      </c>
      <c r="J463">
        <v>0</v>
      </c>
      <c r="K463">
        <v>0</v>
      </c>
      <c r="L463">
        <v>0</v>
      </c>
      <c r="M463">
        <v>1</v>
      </c>
    </row>
    <row r="464" spans="1:13" x14ac:dyDescent="0.25">
      <c r="A464" t="s">
        <v>558</v>
      </c>
      <c r="B464" s="5">
        <v>5</v>
      </c>
      <c r="C464" t="s">
        <v>559</v>
      </c>
      <c r="D464" t="s">
        <v>555</v>
      </c>
      <c r="E464" t="s">
        <v>556</v>
      </c>
      <c r="F464" s="4">
        <v>86000</v>
      </c>
      <c r="G464" s="4">
        <v>119000</v>
      </c>
      <c r="H464" s="4">
        <f t="shared" si="7"/>
        <v>102500</v>
      </c>
      <c r="I464">
        <v>0</v>
      </c>
      <c r="J464">
        <v>0</v>
      </c>
      <c r="K464">
        <v>0</v>
      </c>
      <c r="L464">
        <v>0</v>
      </c>
      <c r="M464">
        <v>1</v>
      </c>
    </row>
    <row r="465" spans="1:13" x14ac:dyDescent="0.25">
      <c r="A465" t="s">
        <v>560</v>
      </c>
      <c r="B465" s="5">
        <v>4.2</v>
      </c>
      <c r="C465" t="s">
        <v>561</v>
      </c>
      <c r="D465" t="s">
        <v>555</v>
      </c>
      <c r="E465" t="s">
        <v>556</v>
      </c>
      <c r="F465" s="4">
        <v>84000</v>
      </c>
      <c r="G465" s="4">
        <v>122000</v>
      </c>
      <c r="H465" s="4">
        <f t="shared" si="7"/>
        <v>103000</v>
      </c>
      <c r="I465">
        <v>0</v>
      </c>
      <c r="J465">
        <v>0</v>
      </c>
      <c r="K465">
        <v>0</v>
      </c>
      <c r="L465">
        <v>0</v>
      </c>
      <c r="M465">
        <v>1</v>
      </c>
    </row>
    <row r="466" spans="1:13" x14ac:dyDescent="0.25">
      <c r="A466" t="s">
        <v>205</v>
      </c>
      <c r="B466" s="5">
        <v>5</v>
      </c>
      <c r="C466" t="s">
        <v>562</v>
      </c>
      <c r="D466" t="s">
        <v>555</v>
      </c>
      <c r="E466" t="s">
        <v>556</v>
      </c>
      <c r="F466" s="4">
        <v>82000</v>
      </c>
      <c r="G466" s="4">
        <v>123000</v>
      </c>
      <c r="H466" s="4">
        <f t="shared" si="7"/>
        <v>102500</v>
      </c>
      <c r="I466">
        <v>0</v>
      </c>
      <c r="J466">
        <v>0</v>
      </c>
      <c r="K466">
        <v>0</v>
      </c>
      <c r="L466">
        <v>0</v>
      </c>
      <c r="M466">
        <v>1</v>
      </c>
    </row>
    <row r="467" spans="1:13" x14ac:dyDescent="0.25">
      <c r="A467" t="s">
        <v>563</v>
      </c>
      <c r="B467" s="5">
        <v>3.8</v>
      </c>
      <c r="C467" t="s">
        <v>564</v>
      </c>
      <c r="D467" t="s">
        <v>565</v>
      </c>
      <c r="E467" t="s">
        <v>556</v>
      </c>
      <c r="F467" s="4">
        <v>56000</v>
      </c>
      <c r="G467" s="4">
        <v>81000</v>
      </c>
      <c r="H467" s="4">
        <f t="shared" si="7"/>
        <v>68500</v>
      </c>
      <c r="I467">
        <v>0</v>
      </c>
      <c r="J467">
        <v>0</v>
      </c>
      <c r="K467">
        <v>0</v>
      </c>
      <c r="L467">
        <v>0</v>
      </c>
      <c r="M467">
        <v>1</v>
      </c>
    </row>
    <row r="468" spans="1:13" x14ac:dyDescent="0.25">
      <c r="A468" t="s">
        <v>26</v>
      </c>
      <c r="B468" s="5">
        <v>4</v>
      </c>
      <c r="C468" t="s">
        <v>566</v>
      </c>
      <c r="D468" t="s">
        <v>567</v>
      </c>
      <c r="E468" t="s">
        <v>556</v>
      </c>
      <c r="F468" s="4">
        <v>118000</v>
      </c>
      <c r="G468" s="4">
        <v>217000</v>
      </c>
      <c r="H468" s="4">
        <f t="shared" si="7"/>
        <v>167500</v>
      </c>
      <c r="I468">
        <v>0</v>
      </c>
      <c r="J468">
        <v>0</v>
      </c>
      <c r="K468">
        <v>0</v>
      </c>
      <c r="L468">
        <v>0</v>
      </c>
      <c r="M468">
        <v>1</v>
      </c>
    </row>
    <row r="469" spans="1:13" x14ac:dyDescent="0.25">
      <c r="A469" t="s">
        <v>84</v>
      </c>
      <c r="B469" s="5">
        <v>3.3</v>
      </c>
      <c r="C469" t="s">
        <v>568</v>
      </c>
      <c r="D469" t="s">
        <v>567</v>
      </c>
      <c r="E469" t="s">
        <v>556</v>
      </c>
      <c r="F469" s="4">
        <v>109000</v>
      </c>
      <c r="G469" s="4">
        <v>156000</v>
      </c>
      <c r="H469" s="4">
        <f t="shared" si="7"/>
        <v>132500</v>
      </c>
      <c r="I469">
        <v>0</v>
      </c>
      <c r="J469">
        <v>0</v>
      </c>
      <c r="K469">
        <v>0</v>
      </c>
      <c r="L469">
        <v>0</v>
      </c>
      <c r="M469">
        <v>1</v>
      </c>
    </row>
    <row r="470" spans="1:13" x14ac:dyDescent="0.25">
      <c r="A470" t="s">
        <v>569</v>
      </c>
      <c r="B470" s="5">
        <v>4</v>
      </c>
      <c r="C470" t="s">
        <v>566</v>
      </c>
      <c r="D470" t="s">
        <v>567</v>
      </c>
      <c r="E470" t="s">
        <v>556</v>
      </c>
      <c r="F470" s="4">
        <v>94000</v>
      </c>
      <c r="G470" s="4">
        <v>186000</v>
      </c>
      <c r="H470" s="4">
        <f t="shared" si="7"/>
        <v>140000</v>
      </c>
      <c r="I470">
        <v>0</v>
      </c>
      <c r="J470">
        <v>0</v>
      </c>
      <c r="K470">
        <v>0</v>
      </c>
      <c r="L470">
        <v>0</v>
      </c>
      <c r="M470">
        <v>1</v>
      </c>
    </row>
    <row r="471" spans="1:13" x14ac:dyDescent="0.25">
      <c r="A471" t="s">
        <v>0</v>
      </c>
      <c r="B471" s="5">
        <v>3.3</v>
      </c>
      <c r="C471" t="s">
        <v>568</v>
      </c>
      <c r="D471" t="s">
        <v>567</v>
      </c>
      <c r="E471" t="s">
        <v>556</v>
      </c>
      <c r="F471" s="4">
        <v>84000</v>
      </c>
      <c r="G471" s="4">
        <v>124000</v>
      </c>
      <c r="H471" s="4">
        <f t="shared" si="7"/>
        <v>104000</v>
      </c>
      <c r="I471">
        <v>0</v>
      </c>
      <c r="J471">
        <v>0</v>
      </c>
      <c r="K471">
        <v>0</v>
      </c>
      <c r="L471">
        <v>0</v>
      </c>
      <c r="M471">
        <v>1</v>
      </c>
    </row>
    <row r="472" spans="1:13" x14ac:dyDescent="0.25">
      <c r="A472" t="s">
        <v>0</v>
      </c>
      <c r="B472" s="5">
        <v>4.2</v>
      </c>
      <c r="C472" t="s">
        <v>570</v>
      </c>
      <c r="D472" t="s">
        <v>571</v>
      </c>
      <c r="E472" t="s">
        <v>556</v>
      </c>
      <c r="F472" s="4">
        <v>72000</v>
      </c>
      <c r="G472" s="4">
        <v>112000</v>
      </c>
      <c r="H472" s="4">
        <f t="shared" si="7"/>
        <v>92000</v>
      </c>
      <c r="I472">
        <v>0</v>
      </c>
      <c r="J472">
        <v>0</v>
      </c>
      <c r="K472">
        <v>0</v>
      </c>
      <c r="L472">
        <v>0</v>
      </c>
      <c r="M472">
        <v>1</v>
      </c>
    </row>
    <row r="473" spans="1:13" x14ac:dyDescent="0.25">
      <c r="A473" t="s">
        <v>572</v>
      </c>
      <c r="B473" s="5">
        <v>4.2</v>
      </c>
      <c r="C473" t="s">
        <v>573</v>
      </c>
      <c r="D473" t="s">
        <v>574</v>
      </c>
      <c r="E473" t="s">
        <v>556</v>
      </c>
      <c r="F473" s="4">
        <v>58000</v>
      </c>
      <c r="G473" s="4">
        <v>89000</v>
      </c>
      <c r="H473" s="4">
        <f t="shared" si="7"/>
        <v>73500</v>
      </c>
      <c r="I473">
        <v>0</v>
      </c>
      <c r="J473">
        <v>0</v>
      </c>
      <c r="K473">
        <v>0</v>
      </c>
      <c r="L473">
        <v>0</v>
      </c>
      <c r="M473">
        <v>1</v>
      </c>
    </row>
    <row r="474" spans="1:13" x14ac:dyDescent="0.25">
      <c r="A474" t="s">
        <v>0</v>
      </c>
      <c r="B474" s="5">
        <v>4.2</v>
      </c>
      <c r="C474" t="s">
        <v>575</v>
      </c>
      <c r="D474" t="s">
        <v>576</v>
      </c>
      <c r="E474" t="s">
        <v>556</v>
      </c>
      <c r="F474" s="4">
        <v>106000</v>
      </c>
      <c r="G474" s="4">
        <v>242000</v>
      </c>
      <c r="H474" s="4">
        <f t="shared" si="7"/>
        <v>174000</v>
      </c>
      <c r="I474">
        <v>0</v>
      </c>
      <c r="J474">
        <v>0</v>
      </c>
      <c r="K474">
        <v>0</v>
      </c>
      <c r="L474">
        <v>0</v>
      </c>
      <c r="M474">
        <v>1</v>
      </c>
    </row>
    <row r="475" spans="1:13" x14ac:dyDescent="0.25">
      <c r="A475" t="s">
        <v>0</v>
      </c>
      <c r="C475" t="s">
        <v>577</v>
      </c>
      <c r="D475" t="s">
        <v>576</v>
      </c>
      <c r="E475" t="s">
        <v>556</v>
      </c>
      <c r="F475" s="4">
        <v>89000</v>
      </c>
      <c r="G475" s="4">
        <v>130000</v>
      </c>
      <c r="H475" s="4">
        <f t="shared" si="7"/>
        <v>109500</v>
      </c>
      <c r="I475">
        <v>0</v>
      </c>
      <c r="J475">
        <v>1</v>
      </c>
      <c r="K475">
        <v>0</v>
      </c>
      <c r="L475">
        <v>0</v>
      </c>
      <c r="M475">
        <v>1</v>
      </c>
    </row>
    <row r="476" spans="1:13" x14ac:dyDescent="0.25">
      <c r="A476" t="s">
        <v>578</v>
      </c>
      <c r="B476" s="5">
        <v>3.6</v>
      </c>
      <c r="C476" t="s">
        <v>579</v>
      </c>
      <c r="D476" t="s">
        <v>580</v>
      </c>
      <c r="E476" t="s">
        <v>556</v>
      </c>
      <c r="F476" s="4">
        <v>146000</v>
      </c>
      <c r="G476" s="4">
        <v>234000</v>
      </c>
      <c r="H476" s="4">
        <f t="shared" si="7"/>
        <v>190000</v>
      </c>
      <c r="I476">
        <v>0</v>
      </c>
      <c r="J476">
        <v>0</v>
      </c>
      <c r="K476">
        <v>0</v>
      </c>
      <c r="L476">
        <v>0</v>
      </c>
      <c r="M476">
        <v>1</v>
      </c>
    </row>
    <row r="477" spans="1:13" x14ac:dyDescent="0.25">
      <c r="A477" t="s">
        <v>581</v>
      </c>
      <c r="B477" s="5">
        <v>3.6</v>
      </c>
      <c r="C477" t="s">
        <v>579</v>
      </c>
      <c r="D477" t="s">
        <v>580</v>
      </c>
      <c r="E477" t="s">
        <v>556</v>
      </c>
      <c r="F477" s="4">
        <v>112000</v>
      </c>
      <c r="G477" s="4">
        <v>179000</v>
      </c>
      <c r="H477" s="4">
        <f t="shared" si="7"/>
        <v>145500</v>
      </c>
      <c r="I477">
        <v>0</v>
      </c>
      <c r="J477">
        <v>0</v>
      </c>
      <c r="K477">
        <v>0</v>
      </c>
      <c r="L477">
        <v>0</v>
      </c>
      <c r="M477">
        <v>1</v>
      </c>
    </row>
    <row r="478" spans="1:13" x14ac:dyDescent="0.25">
      <c r="A478" t="s">
        <v>0</v>
      </c>
      <c r="B478" s="5">
        <v>5</v>
      </c>
      <c r="C478" t="s">
        <v>582</v>
      </c>
      <c r="D478" t="s">
        <v>580</v>
      </c>
      <c r="E478" t="s">
        <v>556</v>
      </c>
      <c r="F478" s="4">
        <v>85000</v>
      </c>
      <c r="G478" s="4">
        <v>127000</v>
      </c>
      <c r="H478" s="4">
        <f t="shared" si="7"/>
        <v>106000</v>
      </c>
      <c r="I478">
        <v>0</v>
      </c>
      <c r="J478">
        <v>1</v>
      </c>
      <c r="K478">
        <v>0</v>
      </c>
      <c r="L478">
        <v>0</v>
      </c>
      <c r="M478">
        <v>1</v>
      </c>
    </row>
    <row r="479" spans="1:13" x14ac:dyDescent="0.25">
      <c r="A479" t="s">
        <v>0</v>
      </c>
      <c r="B479" s="5">
        <v>3.7</v>
      </c>
      <c r="C479" t="s">
        <v>583</v>
      </c>
      <c r="D479" t="s">
        <v>580</v>
      </c>
      <c r="E479" t="s">
        <v>556</v>
      </c>
      <c r="F479" s="4">
        <v>81000</v>
      </c>
      <c r="G479" s="4">
        <v>184000</v>
      </c>
      <c r="H479" s="4">
        <f t="shared" si="7"/>
        <v>132500</v>
      </c>
      <c r="I479">
        <v>0</v>
      </c>
      <c r="J479">
        <v>0</v>
      </c>
      <c r="K479">
        <v>0</v>
      </c>
      <c r="L479">
        <v>0</v>
      </c>
      <c r="M479">
        <v>1</v>
      </c>
    </row>
    <row r="480" spans="1:13" x14ac:dyDescent="0.25">
      <c r="A480" t="s">
        <v>584</v>
      </c>
      <c r="B480" s="5">
        <v>4.0999999999999996</v>
      </c>
      <c r="C480" t="s">
        <v>585</v>
      </c>
      <c r="D480" t="s">
        <v>580</v>
      </c>
      <c r="E480" t="s">
        <v>556</v>
      </c>
      <c r="F480" s="4">
        <v>38000</v>
      </c>
      <c r="G480" s="4">
        <v>58000</v>
      </c>
      <c r="H480" s="4">
        <f t="shared" si="7"/>
        <v>48000</v>
      </c>
      <c r="I480">
        <v>0</v>
      </c>
      <c r="J480">
        <v>0</v>
      </c>
      <c r="K480">
        <v>0</v>
      </c>
      <c r="L480">
        <v>0</v>
      </c>
      <c r="M480">
        <v>1</v>
      </c>
    </row>
    <row r="481" spans="1:13" x14ac:dyDescent="0.25">
      <c r="A481" t="s">
        <v>408</v>
      </c>
      <c r="B481" s="5">
        <v>4.0999999999999996</v>
      </c>
      <c r="C481" t="s">
        <v>586</v>
      </c>
      <c r="D481" t="s">
        <v>587</v>
      </c>
      <c r="E481" t="s">
        <v>556</v>
      </c>
      <c r="F481" s="4">
        <v>156000</v>
      </c>
      <c r="G481" s="4">
        <v>184000</v>
      </c>
      <c r="H481" s="4">
        <f t="shared" si="7"/>
        <v>170000</v>
      </c>
      <c r="I481">
        <v>0</v>
      </c>
      <c r="J481">
        <v>0</v>
      </c>
      <c r="K481">
        <v>0</v>
      </c>
      <c r="L481">
        <v>0</v>
      </c>
      <c r="M481">
        <v>1</v>
      </c>
    </row>
    <row r="482" spans="1:13" x14ac:dyDescent="0.25">
      <c r="A482" t="s">
        <v>588</v>
      </c>
      <c r="B482" s="5">
        <v>2.5</v>
      </c>
      <c r="C482" t="s">
        <v>589</v>
      </c>
      <c r="D482" t="s">
        <v>590</v>
      </c>
      <c r="E482" t="s">
        <v>556</v>
      </c>
      <c r="F482" s="4">
        <v>85000</v>
      </c>
      <c r="G482" s="4">
        <v>95000</v>
      </c>
      <c r="H482" s="4">
        <f t="shared" si="7"/>
        <v>90000</v>
      </c>
      <c r="I482">
        <v>0</v>
      </c>
      <c r="J482">
        <v>0</v>
      </c>
      <c r="K482">
        <v>0</v>
      </c>
      <c r="L482">
        <v>0</v>
      </c>
      <c r="M482">
        <v>1</v>
      </c>
    </row>
    <row r="483" spans="1:13" x14ac:dyDescent="0.25">
      <c r="A483" t="s">
        <v>591</v>
      </c>
      <c r="B483" s="5">
        <v>2.8</v>
      </c>
      <c r="C483" t="s">
        <v>592</v>
      </c>
      <c r="D483" t="s">
        <v>593</v>
      </c>
      <c r="E483" t="s">
        <v>556</v>
      </c>
      <c r="F483" s="4">
        <v>80000</v>
      </c>
      <c r="G483" s="4">
        <v>126000</v>
      </c>
      <c r="H483" s="4">
        <f t="shared" si="7"/>
        <v>103000</v>
      </c>
      <c r="I483">
        <v>0</v>
      </c>
      <c r="J483">
        <v>0</v>
      </c>
      <c r="K483">
        <v>0</v>
      </c>
      <c r="L483">
        <v>0</v>
      </c>
      <c r="M483">
        <v>1</v>
      </c>
    </row>
    <row r="484" spans="1:13" x14ac:dyDescent="0.25">
      <c r="A484" t="s">
        <v>594</v>
      </c>
      <c r="B484" s="5">
        <v>3.3</v>
      </c>
      <c r="C484" t="s">
        <v>595</v>
      </c>
      <c r="D484" t="s">
        <v>596</v>
      </c>
      <c r="E484" t="s">
        <v>556</v>
      </c>
      <c r="F484" s="4">
        <v>81000</v>
      </c>
      <c r="G484" s="4">
        <v>112000</v>
      </c>
      <c r="H484" s="4">
        <f t="shared" si="7"/>
        <v>96500</v>
      </c>
      <c r="I484">
        <v>0</v>
      </c>
      <c r="J484">
        <v>0</v>
      </c>
      <c r="K484">
        <v>0</v>
      </c>
      <c r="L484">
        <v>0</v>
      </c>
      <c r="M484">
        <v>1</v>
      </c>
    </row>
    <row r="485" spans="1:13" x14ac:dyDescent="0.25">
      <c r="A485" t="s">
        <v>597</v>
      </c>
      <c r="B485" s="5">
        <v>3.7</v>
      </c>
      <c r="C485" t="s">
        <v>598</v>
      </c>
      <c r="D485" t="s">
        <v>599</v>
      </c>
      <c r="E485" t="s">
        <v>556</v>
      </c>
      <c r="F485" s="4">
        <v>107000</v>
      </c>
      <c r="G485" s="4">
        <v>157000</v>
      </c>
      <c r="H485" s="4">
        <f t="shared" si="7"/>
        <v>132000</v>
      </c>
      <c r="I485">
        <v>0</v>
      </c>
      <c r="J485">
        <v>0</v>
      </c>
      <c r="K485">
        <v>0</v>
      </c>
      <c r="L485">
        <v>0</v>
      </c>
      <c r="M485">
        <v>1</v>
      </c>
    </row>
    <row r="486" spans="1:13" x14ac:dyDescent="0.25">
      <c r="A486" t="s">
        <v>0</v>
      </c>
      <c r="B486" s="5">
        <v>3.4</v>
      </c>
      <c r="C486" t="s">
        <v>600</v>
      </c>
      <c r="D486" t="s">
        <v>599</v>
      </c>
      <c r="E486" t="s">
        <v>556</v>
      </c>
      <c r="F486" s="4">
        <v>85000</v>
      </c>
      <c r="G486" s="4">
        <v>122000</v>
      </c>
      <c r="H486" s="4">
        <f t="shared" si="7"/>
        <v>103500</v>
      </c>
      <c r="I486">
        <v>0</v>
      </c>
      <c r="J486">
        <v>0</v>
      </c>
      <c r="K486">
        <v>0</v>
      </c>
      <c r="L486">
        <v>0</v>
      </c>
      <c r="M486">
        <v>1</v>
      </c>
    </row>
    <row r="487" spans="1:13" x14ac:dyDescent="0.25">
      <c r="A487" t="s">
        <v>601</v>
      </c>
      <c r="B487" s="5">
        <v>3.4</v>
      </c>
      <c r="C487" t="s">
        <v>600</v>
      </c>
      <c r="D487" t="s">
        <v>599</v>
      </c>
      <c r="E487" t="s">
        <v>556</v>
      </c>
      <c r="F487" s="4">
        <v>79000</v>
      </c>
      <c r="G487" s="4">
        <v>118000</v>
      </c>
      <c r="H487" s="4">
        <f t="shared" si="7"/>
        <v>98500</v>
      </c>
      <c r="I487">
        <v>0</v>
      </c>
      <c r="J487">
        <v>0</v>
      </c>
      <c r="K487">
        <v>0</v>
      </c>
      <c r="L487">
        <v>0</v>
      </c>
      <c r="M487">
        <v>1</v>
      </c>
    </row>
    <row r="488" spans="1:13" x14ac:dyDescent="0.25">
      <c r="A488" t="s">
        <v>601</v>
      </c>
      <c r="B488" s="5">
        <v>3.4</v>
      </c>
      <c r="C488" t="s">
        <v>600</v>
      </c>
      <c r="D488" t="s">
        <v>599</v>
      </c>
      <c r="E488" t="s">
        <v>556</v>
      </c>
      <c r="F488" s="4">
        <v>79000</v>
      </c>
      <c r="G488" s="4">
        <v>118000</v>
      </c>
      <c r="H488" s="4">
        <f t="shared" si="7"/>
        <v>98500</v>
      </c>
      <c r="I488">
        <v>0</v>
      </c>
      <c r="J488">
        <v>0</v>
      </c>
      <c r="K488">
        <v>0</v>
      </c>
      <c r="L488">
        <v>0</v>
      </c>
      <c r="M488">
        <v>1</v>
      </c>
    </row>
    <row r="489" spans="1:13" x14ac:dyDescent="0.25">
      <c r="A489" t="s">
        <v>0</v>
      </c>
      <c r="B489" s="5">
        <v>4.4000000000000004</v>
      </c>
      <c r="C489" t="s">
        <v>602</v>
      </c>
      <c r="D489" t="s">
        <v>603</v>
      </c>
      <c r="E489" t="s">
        <v>556</v>
      </c>
      <c r="F489" s="4">
        <v>79000</v>
      </c>
      <c r="G489" s="4">
        <v>114000</v>
      </c>
      <c r="H489" s="4">
        <f t="shared" si="7"/>
        <v>96500</v>
      </c>
      <c r="I489">
        <v>0</v>
      </c>
      <c r="J489">
        <v>0</v>
      </c>
      <c r="K489">
        <v>0</v>
      </c>
      <c r="L489">
        <v>0</v>
      </c>
      <c r="M489">
        <v>1</v>
      </c>
    </row>
    <row r="490" spans="1:13" x14ac:dyDescent="0.25">
      <c r="A490" t="s">
        <v>17</v>
      </c>
      <c r="B490" s="5">
        <v>4.4000000000000004</v>
      </c>
      <c r="C490" t="s">
        <v>602</v>
      </c>
      <c r="D490" t="s">
        <v>603</v>
      </c>
      <c r="E490" t="s">
        <v>556</v>
      </c>
      <c r="F490" s="4">
        <v>69000</v>
      </c>
      <c r="G490" s="4">
        <v>99000</v>
      </c>
      <c r="H490" s="4">
        <f t="shared" si="7"/>
        <v>84000</v>
      </c>
      <c r="I490">
        <v>0</v>
      </c>
      <c r="J490">
        <v>0</v>
      </c>
      <c r="K490">
        <v>0</v>
      </c>
      <c r="L490">
        <v>0</v>
      </c>
      <c r="M490">
        <v>1</v>
      </c>
    </row>
    <row r="491" spans="1:13" x14ac:dyDescent="0.25">
      <c r="A491" t="s">
        <v>0</v>
      </c>
      <c r="B491" s="5">
        <v>3.9</v>
      </c>
      <c r="C491" t="s">
        <v>604</v>
      </c>
      <c r="D491" t="s">
        <v>263</v>
      </c>
      <c r="E491" t="s">
        <v>556</v>
      </c>
      <c r="F491" s="4">
        <v>113000</v>
      </c>
      <c r="G491" s="4">
        <v>204000</v>
      </c>
      <c r="H491" s="4">
        <f t="shared" si="7"/>
        <v>158500</v>
      </c>
      <c r="I491">
        <v>0</v>
      </c>
      <c r="J491">
        <v>0</v>
      </c>
      <c r="K491">
        <v>0</v>
      </c>
      <c r="L491">
        <v>0</v>
      </c>
      <c r="M491">
        <v>1</v>
      </c>
    </row>
    <row r="492" spans="1:13" x14ac:dyDescent="0.25">
      <c r="A492" t="s">
        <v>0</v>
      </c>
      <c r="B492" s="5">
        <v>3.9</v>
      </c>
      <c r="C492" t="s">
        <v>604</v>
      </c>
      <c r="D492" t="s">
        <v>263</v>
      </c>
      <c r="E492" t="s">
        <v>556</v>
      </c>
      <c r="F492" s="4">
        <v>113000</v>
      </c>
      <c r="G492" s="4">
        <v>204000</v>
      </c>
      <c r="H492" s="4">
        <f t="shared" si="7"/>
        <v>158500</v>
      </c>
      <c r="I492">
        <v>0</v>
      </c>
      <c r="J492">
        <v>0</v>
      </c>
      <c r="K492">
        <v>0</v>
      </c>
      <c r="L492">
        <v>0</v>
      </c>
      <c r="M492">
        <v>1</v>
      </c>
    </row>
    <row r="493" spans="1:13" x14ac:dyDescent="0.25">
      <c r="A493" t="s">
        <v>0</v>
      </c>
      <c r="B493" s="5">
        <v>3.9</v>
      </c>
      <c r="C493" t="s">
        <v>604</v>
      </c>
      <c r="D493" t="s">
        <v>263</v>
      </c>
      <c r="E493" t="s">
        <v>556</v>
      </c>
      <c r="F493" s="4">
        <v>113000</v>
      </c>
      <c r="G493" s="4">
        <v>204000</v>
      </c>
      <c r="H493" s="4">
        <f t="shared" si="7"/>
        <v>158500</v>
      </c>
      <c r="I493">
        <v>0</v>
      </c>
      <c r="J493">
        <v>0</v>
      </c>
      <c r="K493">
        <v>0</v>
      </c>
      <c r="L493">
        <v>0</v>
      </c>
      <c r="M493">
        <v>1</v>
      </c>
    </row>
    <row r="494" spans="1:13" x14ac:dyDescent="0.25">
      <c r="A494" t="s">
        <v>0</v>
      </c>
      <c r="B494" s="5">
        <v>3.4</v>
      </c>
      <c r="C494" t="s">
        <v>605</v>
      </c>
      <c r="D494" t="s">
        <v>606</v>
      </c>
      <c r="E494" t="s">
        <v>607</v>
      </c>
      <c r="F494" s="4">
        <v>83000</v>
      </c>
      <c r="G494" s="4">
        <v>124000</v>
      </c>
      <c r="H494" s="4">
        <f t="shared" si="7"/>
        <v>103500</v>
      </c>
      <c r="I494">
        <v>0</v>
      </c>
      <c r="J494">
        <v>0</v>
      </c>
      <c r="K494">
        <v>0</v>
      </c>
      <c r="L494">
        <v>0</v>
      </c>
      <c r="M494">
        <v>1</v>
      </c>
    </row>
    <row r="495" spans="1:13" x14ac:dyDescent="0.25">
      <c r="A495" t="s">
        <v>0</v>
      </c>
      <c r="B495" s="5">
        <v>3.6</v>
      </c>
      <c r="C495" t="s">
        <v>608</v>
      </c>
      <c r="D495" t="s">
        <v>609</v>
      </c>
      <c r="E495" t="s">
        <v>610</v>
      </c>
      <c r="F495" s="4">
        <v>96000</v>
      </c>
      <c r="G495" s="4">
        <v>135000</v>
      </c>
      <c r="H495" s="4">
        <f t="shared" si="7"/>
        <v>115500</v>
      </c>
      <c r="I495">
        <v>0</v>
      </c>
      <c r="J495">
        <v>0</v>
      </c>
      <c r="K495">
        <v>0</v>
      </c>
      <c r="L495">
        <v>0</v>
      </c>
      <c r="M495">
        <v>1</v>
      </c>
    </row>
    <row r="496" spans="1:13" x14ac:dyDescent="0.25">
      <c r="A496" t="s">
        <v>30</v>
      </c>
      <c r="B496" s="5">
        <v>3.9</v>
      </c>
      <c r="C496" t="s">
        <v>611</v>
      </c>
      <c r="D496" t="s">
        <v>612</v>
      </c>
      <c r="E496" t="s">
        <v>610</v>
      </c>
      <c r="F496" s="4">
        <v>118000</v>
      </c>
      <c r="G496" s="4">
        <v>161000</v>
      </c>
      <c r="H496" s="4">
        <f t="shared" si="7"/>
        <v>139500</v>
      </c>
      <c r="I496">
        <v>0</v>
      </c>
      <c r="J496">
        <v>0</v>
      </c>
      <c r="K496">
        <v>0</v>
      </c>
      <c r="L496">
        <v>0</v>
      </c>
      <c r="M496">
        <v>1</v>
      </c>
    </row>
    <row r="497" spans="1:13" x14ac:dyDescent="0.25">
      <c r="A497" t="s">
        <v>613</v>
      </c>
      <c r="B497" s="5">
        <v>4</v>
      </c>
      <c r="C497" t="s">
        <v>614</v>
      </c>
      <c r="D497" t="s">
        <v>615</v>
      </c>
      <c r="E497" t="s">
        <v>610</v>
      </c>
      <c r="F497" s="4">
        <v>98000</v>
      </c>
      <c r="G497" s="4">
        <v>133000</v>
      </c>
      <c r="H497" s="4">
        <f t="shared" si="7"/>
        <v>115500</v>
      </c>
      <c r="I497">
        <v>0</v>
      </c>
      <c r="J497">
        <v>0</v>
      </c>
      <c r="K497">
        <v>0</v>
      </c>
      <c r="L497">
        <v>0</v>
      </c>
      <c r="M497">
        <v>1</v>
      </c>
    </row>
    <row r="498" spans="1:13" x14ac:dyDescent="0.25">
      <c r="A498" t="s">
        <v>616</v>
      </c>
      <c r="B498" s="5">
        <v>4</v>
      </c>
      <c r="C498" t="s">
        <v>614</v>
      </c>
      <c r="D498" t="s">
        <v>617</v>
      </c>
      <c r="E498" t="s">
        <v>610</v>
      </c>
      <c r="F498" s="4">
        <v>94000</v>
      </c>
      <c r="G498" s="4">
        <v>126000</v>
      </c>
      <c r="H498" s="4">
        <f t="shared" si="7"/>
        <v>110000</v>
      </c>
      <c r="I498">
        <v>0</v>
      </c>
      <c r="J498">
        <v>0</v>
      </c>
      <c r="K498">
        <v>0</v>
      </c>
      <c r="L498">
        <v>0</v>
      </c>
      <c r="M498">
        <v>1</v>
      </c>
    </row>
    <row r="499" spans="1:13" x14ac:dyDescent="0.25">
      <c r="A499" t="s">
        <v>0</v>
      </c>
      <c r="B499" s="5">
        <v>3.6</v>
      </c>
      <c r="C499" t="s">
        <v>618</v>
      </c>
      <c r="D499" t="s">
        <v>617</v>
      </c>
      <c r="E499" t="s">
        <v>610</v>
      </c>
      <c r="F499" s="4">
        <v>89000</v>
      </c>
      <c r="G499" s="4">
        <v>129000</v>
      </c>
      <c r="H499" s="4">
        <f t="shared" si="7"/>
        <v>109000</v>
      </c>
      <c r="I499">
        <v>1</v>
      </c>
      <c r="J499">
        <v>1</v>
      </c>
      <c r="K499">
        <v>1</v>
      </c>
      <c r="L499">
        <v>1</v>
      </c>
      <c r="M499">
        <v>1</v>
      </c>
    </row>
    <row r="500" spans="1:13" x14ac:dyDescent="0.25">
      <c r="A500" t="s">
        <v>0</v>
      </c>
      <c r="B500" s="5">
        <v>3.9</v>
      </c>
      <c r="C500" t="s">
        <v>619</v>
      </c>
      <c r="D500" t="s">
        <v>617</v>
      </c>
      <c r="E500" t="s">
        <v>610</v>
      </c>
      <c r="F500" s="4">
        <v>85000</v>
      </c>
      <c r="G500" s="4">
        <v>117000</v>
      </c>
      <c r="H500" s="4">
        <f t="shared" si="7"/>
        <v>101000</v>
      </c>
      <c r="I500">
        <v>0</v>
      </c>
      <c r="J500">
        <v>0</v>
      </c>
      <c r="K500">
        <v>0</v>
      </c>
      <c r="L500">
        <v>0</v>
      </c>
      <c r="M500">
        <v>1</v>
      </c>
    </row>
    <row r="501" spans="1:13" x14ac:dyDescent="0.25">
      <c r="A501" t="s">
        <v>620</v>
      </c>
      <c r="B501" s="5">
        <v>3.8</v>
      </c>
      <c r="C501" t="s">
        <v>621</v>
      </c>
      <c r="D501" t="s">
        <v>622</v>
      </c>
      <c r="E501" t="s">
        <v>610</v>
      </c>
      <c r="F501" s="4">
        <v>85000</v>
      </c>
      <c r="G501" s="4">
        <v>127000</v>
      </c>
      <c r="H501" s="4">
        <f t="shared" si="7"/>
        <v>106000</v>
      </c>
      <c r="I501">
        <v>0</v>
      </c>
      <c r="J501">
        <v>0</v>
      </c>
      <c r="K501">
        <v>0</v>
      </c>
      <c r="L501">
        <v>0</v>
      </c>
      <c r="M501">
        <v>1</v>
      </c>
    </row>
    <row r="502" spans="1:13" x14ac:dyDescent="0.25">
      <c r="A502" t="s">
        <v>0</v>
      </c>
      <c r="B502" s="5">
        <v>3.6</v>
      </c>
      <c r="C502" t="s">
        <v>623</v>
      </c>
      <c r="D502" t="s">
        <v>624</v>
      </c>
      <c r="E502" t="s">
        <v>610</v>
      </c>
      <c r="F502" s="4">
        <v>79000</v>
      </c>
      <c r="G502" s="4">
        <v>109000</v>
      </c>
      <c r="H502" s="4">
        <f t="shared" si="7"/>
        <v>94000</v>
      </c>
      <c r="I502">
        <v>0</v>
      </c>
      <c r="J502">
        <v>0</v>
      </c>
      <c r="K502">
        <v>0</v>
      </c>
      <c r="L502">
        <v>0</v>
      </c>
      <c r="M502">
        <v>1</v>
      </c>
    </row>
    <row r="503" spans="1:13" x14ac:dyDescent="0.25">
      <c r="A503" t="s">
        <v>0</v>
      </c>
      <c r="B503" s="5">
        <v>2.9</v>
      </c>
      <c r="C503" t="s">
        <v>625</v>
      </c>
      <c r="D503" t="s">
        <v>626</v>
      </c>
      <c r="E503" t="s">
        <v>610</v>
      </c>
      <c r="F503" s="4">
        <v>91000</v>
      </c>
      <c r="G503" s="4">
        <v>123000</v>
      </c>
      <c r="H503" s="4">
        <f t="shared" si="7"/>
        <v>107000</v>
      </c>
      <c r="I503">
        <v>0</v>
      </c>
      <c r="J503">
        <v>0</v>
      </c>
      <c r="K503">
        <v>0</v>
      </c>
      <c r="L503">
        <v>0</v>
      </c>
      <c r="M503">
        <v>1</v>
      </c>
    </row>
    <row r="504" spans="1:13" x14ac:dyDescent="0.25">
      <c r="A504" t="s">
        <v>266</v>
      </c>
      <c r="B504" s="5">
        <v>2.9</v>
      </c>
      <c r="C504" t="s">
        <v>625</v>
      </c>
      <c r="D504" t="s">
        <v>626</v>
      </c>
      <c r="E504" t="s">
        <v>610</v>
      </c>
      <c r="F504" s="4">
        <v>82000</v>
      </c>
      <c r="G504" s="4">
        <v>114000</v>
      </c>
      <c r="H504" s="4">
        <f t="shared" si="7"/>
        <v>98000</v>
      </c>
      <c r="I504">
        <v>0</v>
      </c>
      <c r="J504">
        <v>0</v>
      </c>
      <c r="K504">
        <v>0</v>
      </c>
      <c r="L504">
        <v>0</v>
      </c>
      <c r="M504">
        <v>1</v>
      </c>
    </row>
    <row r="505" spans="1:13" x14ac:dyDescent="0.25">
      <c r="A505" t="s">
        <v>627</v>
      </c>
      <c r="C505" t="s">
        <v>628</v>
      </c>
      <c r="D505" t="s">
        <v>629</v>
      </c>
      <c r="E505" t="s">
        <v>610</v>
      </c>
      <c r="F505" s="4">
        <v>77000</v>
      </c>
      <c r="G505" s="4">
        <v>115000</v>
      </c>
      <c r="H505" s="4">
        <f t="shared" si="7"/>
        <v>96000</v>
      </c>
      <c r="I505">
        <v>0</v>
      </c>
      <c r="J505">
        <v>0</v>
      </c>
      <c r="K505">
        <v>0</v>
      </c>
      <c r="L505">
        <v>0</v>
      </c>
      <c r="M505">
        <v>1</v>
      </c>
    </row>
    <row r="506" spans="1:13" x14ac:dyDescent="0.25">
      <c r="A506" t="s">
        <v>0</v>
      </c>
      <c r="B506" s="5">
        <v>3.6</v>
      </c>
      <c r="C506" t="s">
        <v>630</v>
      </c>
      <c r="D506" t="s">
        <v>631</v>
      </c>
      <c r="E506" t="s">
        <v>610</v>
      </c>
      <c r="F506" s="4">
        <v>86000</v>
      </c>
      <c r="G506" s="4">
        <v>118000</v>
      </c>
      <c r="H506" s="4">
        <f t="shared" si="7"/>
        <v>102000</v>
      </c>
      <c r="I506">
        <v>0</v>
      </c>
      <c r="J506">
        <v>0</v>
      </c>
      <c r="K506">
        <v>0</v>
      </c>
      <c r="L506">
        <v>0</v>
      </c>
      <c r="M506">
        <v>1</v>
      </c>
    </row>
    <row r="507" spans="1:13" x14ac:dyDescent="0.25">
      <c r="A507" t="s">
        <v>0</v>
      </c>
      <c r="B507" s="5">
        <v>3.6</v>
      </c>
      <c r="C507" t="s">
        <v>630</v>
      </c>
      <c r="D507" t="s">
        <v>631</v>
      </c>
      <c r="E507" t="s">
        <v>610</v>
      </c>
      <c r="F507" s="4">
        <v>86000</v>
      </c>
      <c r="G507" s="4">
        <v>118000</v>
      </c>
      <c r="H507" s="4">
        <f t="shared" si="7"/>
        <v>102000</v>
      </c>
      <c r="I507">
        <v>0</v>
      </c>
      <c r="J507">
        <v>0</v>
      </c>
      <c r="K507">
        <v>0</v>
      </c>
      <c r="L507">
        <v>0</v>
      </c>
      <c r="M507">
        <v>1</v>
      </c>
    </row>
    <row r="508" spans="1:13" x14ac:dyDescent="0.25">
      <c r="A508" t="s">
        <v>0</v>
      </c>
      <c r="B508" s="5">
        <v>3.6</v>
      </c>
      <c r="C508" t="s">
        <v>630</v>
      </c>
      <c r="D508" t="s">
        <v>631</v>
      </c>
      <c r="E508" t="s">
        <v>610</v>
      </c>
      <c r="F508" s="4">
        <v>86000</v>
      </c>
      <c r="G508" s="4">
        <v>118000</v>
      </c>
      <c r="H508" s="4">
        <f t="shared" si="7"/>
        <v>102000</v>
      </c>
      <c r="I508">
        <v>0</v>
      </c>
      <c r="J508">
        <v>0</v>
      </c>
      <c r="K508">
        <v>0</v>
      </c>
      <c r="L508">
        <v>0</v>
      </c>
      <c r="M508">
        <v>1</v>
      </c>
    </row>
    <row r="509" spans="1:13" x14ac:dyDescent="0.25">
      <c r="A509" t="s">
        <v>0</v>
      </c>
      <c r="B509" s="5">
        <v>3.6</v>
      </c>
      <c r="C509" t="s">
        <v>630</v>
      </c>
      <c r="D509" t="s">
        <v>631</v>
      </c>
      <c r="E509" t="s">
        <v>610</v>
      </c>
      <c r="F509" s="4">
        <v>86000</v>
      </c>
      <c r="G509" s="4">
        <v>118000</v>
      </c>
      <c r="H509" s="4">
        <f t="shared" si="7"/>
        <v>102000</v>
      </c>
      <c r="I509">
        <v>0</v>
      </c>
      <c r="J509">
        <v>0</v>
      </c>
      <c r="K509">
        <v>0</v>
      </c>
      <c r="L509">
        <v>0</v>
      </c>
      <c r="M509">
        <v>1</v>
      </c>
    </row>
    <row r="510" spans="1:13" x14ac:dyDescent="0.25">
      <c r="A510" t="s">
        <v>0</v>
      </c>
      <c r="B510" s="5">
        <v>3.6</v>
      </c>
      <c r="C510" t="s">
        <v>630</v>
      </c>
      <c r="D510" t="s">
        <v>631</v>
      </c>
      <c r="E510" t="s">
        <v>610</v>
      </c>
      <c r="F510" s="4">
        <v>86000</v>
      </c>
      <c r="G510" s="4">
        <v>118000</v>
      </c>
      <c r="H510" s="4">
        <f t="shared" si="7"/>
        <v>102000</v>
      </c>
      <c r="I510">
        <v>0</v>
      </c>
      <c r="J510">
        <v>0</v>
      </c>
      <c r="K510">
        <v>0</v>
      </c>
      <c r="L510">
        <v>0</v>
      </c>
      <c r="M510">
        <v>1</v>
      </c>
    </row>
    <row r="511" spans="1:13" x14ac:dyDescent="0.25">
      <c r="A511" t="s">
        <v>0</v>
      </c>
      <c r="B511" s="5">
        <v>3.6</v>
      </c>
      <c r="C511" t="s">
        <v>126</v>
      </c>
      <c r="D511" t="s">
        <v>631</v>
      </c>
      <c r="E511" t="s">
        <v>610</v>
      </c>
      <c r="F511" s="4">
        <v>86000</v>
      </c>
      <c r="G511" s="4">
        <v>118000</v>
      </c>
      <c r="H511" s="4">
        <f t="shared" si="7"/>
        <v>102000</v>
      </c>
      <c r="I511">
        <v>0</v>
      </c>
      <c r="J511">
        <v>0</v>
      </c>
      <c r="K511">
        <v>0</v>
      </c>
      <c r="L511">
        <v>0</v>
      </c>
      <c r="M511">
        <v>1</v>
      </c>
    </row>
    <row r="512" spans="1:13" x14ac:dyDescent="0.25">
      <c r="A512" t="s">
        <v>0</v>
      </c>
      <c r="B512" s="5">
        <v>3.6</v>
      </c>
      <c r="C512" t="s">
        <v>630</v>
      </c>
      <c r="D512" t="s">
        <v>631</v>
      </c>
      <c r="E512" t="s">
        <v>610</v>
      </c>
      <c r="F512" s="4">
        <v>86000</v>
      </c>
      <c r="G512" s="4">
        <v>118000</v>
      </c>
      <c r="H512" s="4">
        <f t="shared" si="7"/>
        <v>102000</v>
      </c>
      <c r="I512">
        <v>0</v>
      </c>
      <c r="J512">
        <v>0</v>
      </c>
      <c r="K512">
        <v>0</v>
      </c>
      <c r="L512">
        <v>0</v>
      </c>
      <c r="M512">
        <v>1</v>
      </c>
    </row>
    <row r="513" spans="1:13" x14ac:dyDescent="0.25">
      <c r="A513" t="s">
        <v>0</v>
      </c>
      <c r="B513" s="5">
        <v>3.6</v>
      </c>
      <c r="C513" t="s">
        <v>630</v>
      </c>
      <c r="D513" t="s">
        <v>631</v>
      </c>
      <c r="E513" t="s">
        <v>610</v>
      </c>
      <c r="F513" s="4">
        <v>86000</v>
      </c>
      <c r="G513" s="4">
        <v>118000</v>
      </c>
      <c r="H513" s="4">
        <f t="shared" si="7"/>
        <v>102000</v>
      </c>
      <c r="I513">
        <v>0</v>
      </c>
      <c r="J513">
        <v>0</v>
      </c>
      <c r="K513">
        <v>0</v>
      </c>
      <c r="L513">
        <v>0</v>
      </c>
      <c r="M513">
        <v>1</v>
      </c>
    </row>
    <row r="514" spans="1:13" x14ac:dyDescent="0.25">
      <c r="A514" t="s">
        <v>0</v>
      </c>
      <c r="B514" s="5">
        <v>3.6</v>
      </c>
      <c r="C514" t="s">
        <v>630</v>
      </c>
      <c r="D514" t="s">
        <v>631</v>
      </c>
      <c r="E514" t="s">
        <v>610</v>
      </c>
      <c r="F514" s="4">
        <v>86000</v>
      </c>
      <c r="G514" s="4">
        <v>118000</v>
      </c>
      <c r="H514" s="4">
        <f t="shared" si="7"/>
        <v>102000</v>
      </c>
      <c r="I514">
        <v>0</v>
      </c>
      <c r="J514">
        <v>0</v>
      </c>
      <c r="K514">
        <v>0</v>
      </c>
      <c r="L514">
        <v>0</v>
      </c>
      <c r="M514">
        <v>1</v>
      </c>
    </row>
    <row r="515" spans="1:13" x14ac:dyDescent="0.25">
      <c r="A515" t="s">
        <v>0</v>
      </c>
      <c r="B515" s="5">
        <v>3.6</v>
      </c>
      <c r="C515" t="s">
        <v>630</v>
      </c>
      <c r="D515" t="s">
        <v>631</v>
      </c>
      <c r="E515" t="s">
        <v>610</v>
      </c>
      <c r="F515" s="4">
        <v>86000</v>
      </c>
      <c r="G515" s="4">
        <v>118000</v>
      </c>
      <c r="H515" s="4">
        <f t="shared" ref="H515:H578" si="8">(F515+G515)/2</f>
        <v>102000</v>
      </c>
      <c r="I515">
        <v>0</v>
      </c>
      <c r="J515">
        <v>0</v>
      </c>
      <c r="K515">
        <v>0</v>
      </c>
      <c r="L515">
        <v>0</v>
      </c>
      <c r="M515">
        <v>1</v>
      </c>
    </row>
    <row r="516" spans="1:13" x14ac:dyDescent="0.25">
      <c r="A516" t="s">
        <v>0</v>
      </c>
      <c r="B516" s="5">
        <v>3.6</v>
      </c>
      <c r="C516" t="s">
        <v>630</v>
      </c>
      <c r="D516" t="s">
        <v>631</v>
      </c>
      <c r="E516" t="s">
        <v>610</v>
      </c>
      <c r="F516" s="4">
        <v>86000</v>
      </c>
      <c r="G516" s="4">
        <v>118000</v>
      </c>
      <c r="H516" s="4">
        <f t="shared" si="8"/>
        <v>102000</v>
      </c>
      <c r="I516">
        <v>0</v>
      </c>
      <c r="J516">
        <v>0</v>
      </c>
      <c r="K516">
        <v>0</v>
      </c>
      <c r="L516">
        <v>0</v>
      </c>
      <c r="M516">
        <v>1</v>
      </c>
    </row>
    <row r="517" spans="1:13" x14ac:dyDescent="0.25">
      <c r="A517" t="s">
        <v>0</v>
      </c>
      <c r="B517" s="5">
        <v>3.6</v>
      </c>
      <c r="C517" t="s">
        <v>630</v>
      </c>
      <c r="D517" t="s">
        <v>631</v>
      </c>
      <c r="E517" t="s">
        <v>610</v>
      </c>
      <c r="F517" s="4">
        <v>86000</v>
      </c>
      <c r="G517" s="4">
        <v>118000</v>
      </c>
      <c r="H517" s="4">
        <f t="shared" si="8"/>
        <v>102000</v>
      </c>
      <c r="I517">
        <v>0</v>
      </c>
      <c r="J517">
        <v>0</v>
      </c>
      <c r="K517">
        <v>0</v>
      </c>
      <c r="L517">
        <v>0</v>
      </c>
      <c r="M517">
        <v>1</v>
      </c>
    </row>
    <row r="518" spans="1:13" x14ac:dyDescent="0.25">
      <c r="A518" t="s">
        <v>0</v>
      </c>
      <c r="B518" s="5">
        <v>3.6</v>
      </c>
      <c r="C518" t="s">
        <v>630</v>
      </c>
      <c r="D518" t="s">
        <v>631</v>
      </c>
      <c r="E518" t="s">
        <v>610</v>
      </c>
      <c r="F518" s="4">
        <v>86000</v>
      </c>
      <c r="G518" s="4">
        <v>118000</v>
      </c>
      <c r="H518" s="4">
        <f t="shared" si="8"/>
        <v>102000</v>
      </c>
      <c r="I518">
        <v>0</v>
      </c>
      <c r="J518">
        <v>0</v>
      </c>
      <c r="K518">
        <v>0</v>
      </c>
      <c r="L518">
        <v>0</v>
      </c>
      <c r="M518">
        <v>1</v>
      </c>
    </row>
    <row r="519" spans="1:13" x14ac:dyDescent="0.25">
      <c r="A519" t="s">
        <v>0</v>
      </c>
      <c r="B519" s="5">
        <v>3.6</v>
      </c>
      <c r="C519" t="s">
        <v>630</v>
      </c>
      <c r="D519" t="s">
        <v>631</v>
      </c>
      <c r="E519" t="s">
        <v>610</v>
      </c>
      <c r="F519" s="4">
        <v>86000</v>
      </c>
      <c r="G519" s="4">
        <v>118000</v>
      </c>
      <c r="H519" s="4">
        <f t="shared" si="8"/>
        <v>102000</v>
      </c>
      <c r="I519">
        <v>0</v>
      </c>
      <c r="J519">
        <v>0</v>
      </c>
      <c r="K519">
        <v>0</v>
      </c>
      <c r="L519">
        <v>0</v>
      </c>
      <c r="M519">
        <v>1</v>
      </c>
    </row>
    <row r="520" spans="1:13" x14ac:dyDescent="0.25">
      <c r="A520" t="s">
        <v>0</v>
      </c>
      <c r="B520" s="5">
        <v>3.6</v>
      </c>
      <c r="C520" t="s">
        <v>630</v>
      </c>
      <c r="D520" t="s">
        <v>631</v>
      </c>
      <c r="E520" t="s">
        <v>610</v>
      </c>
      <c r="F520" s="4">
        <v>86000</v>
      </c>
      <c r="G520" s="4">
        <v>118000</v>
      </c>
      <c r="H520" s="4">
        <f t="shared" si="8"/>
        <v>102000</v>
      </c>
      <c r="I520">
        <v>0</v>
      </c>
      <c r="J520">
        <v>0</v>
      </c>
      <c r="K520">
        <v>0</v>
      </c>
      <c r="L520">
        <v>0</v>
      </c>
      <c r="M520">
        <v>1</v>
      </c>
    </row>
    <row r="521" spans="1:13" x14ac:dyDescent="0.25">
      <c r="A521" t="s">
        <v>0</v>
      </c>
      <c r="B521" s="5">
        <v>3.6</v>
      </c>
      <c r="C521" t="s">
        <v>630</v>
      </c>
      <c r="D521" t="s">
        <v>631</v>
      </c>
      <c r="E521" t="s">
        <v>610</v>
      </c>
      <c r="F521" s="4">
        <v>86000</v>
      </c>
      <c r="G521" s="4">
        <v>118000</v>
      </c>
      <c r="H521" s="4">
        <f t="shared" si="8"/>
        <v>102000</v>
      </c>
      <c r="I521">
        <v>0</v>
      </c>
      <c r="J521">
        <v>0</v>
      </c>
      <c r="K521">
        <v>0</v>
      </c>
      <c r="L521">
        <v>0</v>
      </c>
      <c r="M521">
        <v>1</v>
      </c>
    </row>
    <row r="522" spans="1:13" x14ac:dyDescent="0.25">
      <c r="A522" t="s">
        <v>0</v>
      </c>
      <c r="B522" s="5">
        <v>3.6</v>
      </c>
      <c r="C522" t="s">
        <v>630</v>
      </c>
      <c r="D522" t="s">
        <v>631</v>
      </c>
      <c r="E522" t="s">
        <v>610</v>
      </c>
      <c r="F522" s="4">
        <v>86000</v>
      </c>
      <c r="G522" s="4">
        <v>118000</v>
      </c>
      <c r="H522" s="4">
        <f t="shared" si="8"/>
        <v>102000</v>
      </c>
      <c r="I522">
        <v>0</v>
      </c>
      <c r="J522">
        <v>0</v>
      </c>
      <c r="K522">
        <v>0</v>
      </c>
      <c r="L522">
        <v>0</v>
      </c>
      <c r="M522">
        <v>1</v>
      </c>
    </row>
    <row r="523" spans="1:13" x14ac:dyDescent="0.25">
      <c r="A523" t="s">
        <v>0</v>
      </c>
      <c r="B523" s="5">
        <v>3.6</v>
      </c>
      <c r="C523" t="s">
        <v>630</v>
      </c>
      <c r="D523" t="s">
        <v>631</v>
      </c>
      <c r="E523" t="s">
        <v>610</v>
      </c>
      <c r="F523" s="4">
        <v>86000</v>
      </c>
      <c r="G523" s="4">
        <v>118000</v>
      </c>
      <c r="H523" s="4">
        <f t="shared" si="8"/>
        <v>102000</v>
      </c>
      <c r="I523">
        <v>0</v>
      </c>
      <c r="J523">
        <v>0</v>
      </c>
      <c r="K523">
        <v>0</v>
      </c>
      <c r="L523">
        <v>0</v>
      </c>
      <c r="M523">
        <v>1</v>
      </c>
    </row>
    <row r="524" spans="1:13" x14ac:dyDescent="0.25">
      <c r="A524" t="s">
        <v>0</v>
      </c>
      <c r="B524" s="5">
        <v>3.6</v>
      </c>
      <c r="C524" t="s">
        <v>630</v>
      </c>
      <c r="D524" t="s">
        <v>631</v>
      </c>
      <c r="E524" t="s">
        <v>610</v>
      </c>
      <c r="F524" s="4">
        <v>86000</v>
      </c>
      <c r="G524" s="4">
        <v>118000</v>
      </c>
      <c r="H524" s="4">
        <f t="shared" si="8"/>
        <v>102000</v>
      </c>
      <c r="I524">
        <v>0</v>
      </c>
      <c r="J524">
        <v>0</v>
      </c>
      <c r="K524">
        <v>0</v>
      </c>
      <c r="L524">
        <v>0</v>
      </c>
      <c r="M524">
        <v>1</v>
      </c>
    </row>
    <row r="525" spans="1:13" x14ac:dyDescent="0.25">
      <c r="A525" t="s">
        <v>632</v>
      </c>
      <c r="B525" s="5">
        <v>3.9</v>
      </c>
      <c r="C525" t="s">
        <v>633</v>
      </c>
      <c r="D525" t="s">
        <v>634</v>
      </c>
      <c r="E525" t="s">
        <v>635</v>
      </c>
      <c r="F525" s="4">
        <v>119000</v>
      </c>
      <c r="G525" s="4">
        <v>157000</v>
      </c>
      <c r="H525" s="4">
        <f t="shared" si="8"/>
        <v>138000</v>
      </c>
      <c r="I525">
        <v>0</v>
      </c>
      <c r="J525">
        <v>1</v>
      </c>
      <c r="K525">
        <v>0</v>
      </c>
      <c r="L525">
        <v>0</v>
      </c>
      <c r="M525">
        <v>1</v>
      </c>
    </row>
    <row r="526" spans="1:13" x14ac:dyDescent="0.25">
      <c r="A526" t="s">
        <v>30</v>
      </c>
      <c r="C526" t="s">
        <v>636</v>
      </c>
      <c r="D526" t="s">
        <v>634</v>
      </c>
      <c r="E526" t="s">
        <v>635</v>
      </c>
      <c r="F526" s="4">
        <v>114000</v>
      </c>
      <c r="G526" s="4">
        <v>160000</v>
      </c>
      <c r="H526" s="4">
        <f t="shared" si="8"/>
        <v>137000</v>
      </c>
      <c r="I526">
        <v>0</v>
      </c>
      <c r="J526">
        <v>0</v>
      </c>
      <c r="K526">
        <v>0</v>
      </c>
      <c r="L526">
        <v>0</v>
      </c>
      <c r="M526">
        <v>1</v>
      </c>
    </row>
    <row r="527" spans="1:13" x14ac:dyDescent="0.25">
      <c r="A527" t="s">
        <v>30</v>
      </c>
      <c r="B527" s="5">
        <v>3.7</v>
      </c>
      <c r="C527" t="s">
        <v>637</v>
      </c>
      <c r="D527" t="s">
        <v>638</v>
      </c>
      <c r="E527" t="s">
        <v>635</v>
      </c>
      <c r="F527" s="4">
        <v>101000</v>
      </c>
      <c r="G527" s="4">
        <v>136000</v>
      </c>
      <c r="H527" s="4">
        <f t="shared" si="8"/>
        <v>118500</v>
      </c>
      <c r="I527">
        <v>0</v>
      </c>
      <c r="J527">
        <v>0</v>
      </c>
      <c r="K527">
        <v>0</v>
      </c>
      <c r="L527">
        <v>0</v>
      </c>
      <c r="M527">
        <v>1</v>
      </c>
    </row>
    <row r="528" spans="1:13" x14ac:dyDescent="0.25">
      <c r="A528" t="s">
        <v>639</v>
      </c>
      <c r="B528" s="5">
        <v>3.9</v>
      </c>
      <c r="C528" t="s">
        <v>640</v>
      </c>
      <c r="D528" t="s">
        <v>629</v>
      </c>
      <c r="E528" t="s">
        <v>635</v>
      </c>
      <c r="F528" s="4">
        <v>160000</v>
      </c>
      <c r="G528" s="4">
        <v>232000</v>
      </c>
      <c r="H528" s="4">
        <f t="shared" si="8"/>
        <v>196000</v>
      </c>
      <c r="I528">
        <v>0</v>
      </c>
      <c r="J528">
        <v>0</v>
      </c>
      <c r="K528">
        <v>0</v>
      </c>
      <c r="L528">
        <v>0</v>
      </c>
      <c r="M528">
        <v>1</v>
      </c>
    </row>
    <row r="529" spans="1:13" x14ac:dyDescent="0.25">
      <c r="A529" t="s">
        <v>641</v>
      </c>
      <c r="B529" s="5">
        <v>4.0999999999999996</v>
      </c>
      <c r="C529" t="s">
        <v>642</v>
      </c>
      <c r="D529" t="s">
        <v>643</v>
      </c>
      <c r="E529" t="s">
        <v>635</v>
      </c>
      <c r="F529" s="4">
        <v>95000</v>
      </c>
      <c r="G529" s="4">
        <v>142000</v>
      </c>
      <c r="H529" s="4">
        <f t="shared" si="8"/>
        <v>118500</v>
      </c>
      <c r="I529">
        <v>0</v>
      </c>
      <c r="J529">
        <v>0</v>
      </c>
      <c r="K529">
        <v>0</v>
      </c>
      <c r="L529">
        <v>0</v>
      </c>
      <c r="M529">
        <v>1</v>
      </c>
    </row>
    <row r="530" spans="1:13" x14ac:dyDescent="0.25">
      <c r="A530" t="s">
        <v>644</v>
      </c>
      <c r="B530" s="5">
        <v>2.8</v>
      </c>
      <c r="C530" t="s">
        <v>645</v>
      </c>
      <c r="D530" t="s">
        <v>646</v>
      </c>
      <c r="E530" t="s">
        <v>635</v>
      </c>
      <c r="F530" s="4">
        <v>124000</v>
      </c>
      <c r="G530" s="4">
        <v>190000</v>
      </c>
      <c r="H530" s="4">
        <f t="shared" si="8"/>
        <v>157000</v>
      </c>
      <c r="I530">
        <v>1</v>
      </c>
      <c r="J530">
        <v>0</v>
      </c>
      <c r="K530">
        <v>0</v>
      </c>
      <c r="L530">
        <v>0</v>
      </c>
      <c r="M530">
        <v>1</v>
      </c>
    </row>
    <row r="531" spans="1:13" x14ac:dyDescent="0.25">
      <c r="A531" t="s">
        <v>647</v>
      </c>
      <c r="B531" s="5">
        <v>3.5</v>
      </c>
      <c r="C531" t="s">
        <v>648</v>
      </c>
      <c r="D531" t="s">
        <v>649</v>
      </c>
      <c r="E531" t="s">
        <v>650</v>
      </c>
      <c r="F531" s="4">
        <v>90000</v>
      </c>
      <c r="G531" s="4">
        <v>124000</v>
      </c>
      <c r="H531" s="4">
        <f t="shared" si="8"/>
        <v>107000</v>
      </c>
      <c r="I531">
        <v>0</v>
      </c>
      <c r="J531">
        <v>0</v>
      </c>
      <c r="K531">
        <v>0</v>
      </c>
      <c r="L531">
        <v>0</v>
      </c>
      <c r="M531">
        <v>1</v>
      </c>
    </row>
    <row r="532" spans="1:13" x14ac:dyDescent="0.25">
      <c r="A532" t="s">
        <v>26</v>
      </c>
      <c r="B532" s="5">
        <v>3.9</v>
      </c>
      <c r="C532" t="s">
        <v>651</v>
      </c>
      <c r="D532" t="s">
        <v>652</v>
      </c>
      <c r="E532" t="s">
        <v>650</v>
      </c>
      <c r="F532" s="4">
        <v>98000</v>
      </c>
      <c r="G532" s="4">
        <v>135000</v>
      </c>
      <c r="H532" s="4">
        <f t="shared" si="8"/>
        <v>116500</v>
      </c>
      <c r="I532">
        <v>0</v>
      </c>
      <c r="J532">
        <v>0</v>
      </c>
      <c r="K532">
        <v>0</v>
      </c>
      <c r="L532">
        <v>0</v>
      </c>
      <c r="M532">
        <v>1</v>
      </c>
    </row>
    <row r="533" spans="1:13" x14ac:dyDescent="0.25">
      <c r="A533" t="s">
        <v>26</v>
      </c>
      <c r="B533" s="5">
        <v>4</v>
      </c>
      <c r="C533" t="s">
        <v>653</v>
      </c>
      <c r="D533" t="s">
        <v>654</v>
      </c>
      <c r="E533" t="s">
        <v>650</v>
      </c>
      <c r="F533" s="4">
        <v>111000</v>
      </c>
      <c r="G533" s="4">
        <v>147000</v>
      </c>
      <c r="H533" s="4">
        <f t="shared" si="8"/>
        <v>129000</v>
      </c>
      <c r="I533">
        <v>0</v>
      </c>
      <c r="J533">
        <v>0</v>
      </c>
      <c r="K533">
        <v>0</v>
      </c>
      <c r="L533">
        <v>0</v>
      </c>
      <c r="M533">
        <v>1</v>
      </c>
    </row>
    <row r="534" spans="1:13" x14ac:dyDescent="0.25">
      <c r="A534" t="s">
        <v>145</v>
      </c>
      <c r="B534" s="5">
        <v>3.9</v>
      </c>
      <c r="C534" t="s">
        <v>655</v>
      </c>
      <c r="D534" t="s">
        <v>654</v>
      </c>
      <c r="E534" t="s">
        <v>650</v>
      </c>
      <c r="F534" s="4">
        <v>91000</v>
      </c>
      <c r="G534" s="4">
        <v>131000</v>
      </c>
      <c r="H534" s="4">
        <f t="shared" si="8"/>
        <v>111000</v>
      </c>
      <c r="I534">
        <v>0</v>
      </c>
      <c r="J534">
        <v>0</v>
      </c>
      <c r="K534">
        <v>0</v>
      </c>
      <c r="L534">
        <v>0</v>
      </c>
      <c r="M534">
        <v>1</v>
      </c>
    </row>
    <row r="535" spans="1:13" x14ac:dyDescent="0.25">
      <c r="A535" t="s">
        <v>0</v>
      </c>
      <c r="B535" s="5">
        <v>3.8</v>
      </c>
      <c r="C535" t="s">
        <v>656</v>
      </c>
      <c r="D535" t="s">
        <v>657</v>
      </c>
      <c r="E535" t="s">
        <v>650</v>
      </c>
      <c r="F535" s="4">
        <v>90000</v>
      </c>
      <c r="G535" s="4">
        <v>124000</v>
      </c>
      <c r="H535" s="4">
        <f t="shared" si="8"/>
        <v>107000</v>
      </c>
      <c r="I535">
        <v>0</v>
      </c>
      <c r="J535">
        <v>0</v>
      </c>
      <c r="K535">
        <v>0</v>
      </c>
      <c r="L535">
        <v>0</v>
      </c>
      <c r="M535">
        <v>1</v>
      </c>
    </row>
    <row r="536" spans="1:13" x14ac:dyDescent="0.25">
      <c r="A536" t="s">
        <v>0</v>
      </c>
      <c r="B536" s="5">
        <v>4.9000000000000004</v>
      </c>
      <c r="C536" t="s">
        <v>658</v>
      </c>
      <c r="D536" t="s">
        <v>659</v>
      </c>
      <c r="E536" t="s">
        <v>650</v>
      </c>
      <c r="F536" s="4">
        <v>78000</v>
      </c>
      <c r="G536" s="4">
        <v>108000</v>
      </c>
      <c r="H536" s="4">
        <f t="shared" si="8"/>
        <v>93000</v>
      </c>
      <c r="I536">
        <v>0</v>
      </c>
      <c r="J536">
        <v>0</v>
      </c>
      <c r="K536">
        <v>0</v>
      </c>
      <c r="L536">
        <v>0</v>
      </c>
      <c r="M536">
        <v>1</v>
      </c>
    </row>
    <row r="537" spans="1:13" x14ac:dyDescent="0.25">
      <c r="A537" t="s">
        <v>0</v>
      </c>
      <c r="B537" s="5">
        <v>2.5</v>
      </c>
      <c r="C537" t="s">
        <v>660</v>
      </c>
      <c r="D537" t="s">
        <v>659</v>
      </c>
      <c r="E537" t="s">
        <v>650</v>
      </c>
      <c r="F537" s="4">
        <v>70000</v>
      </c>
      <c r="G537" s="4">
        <v>110000</v>
      </c>
      <c r="H537" s="4">
        <f t="shared" si="8"/>
        <v>90000</v>
      </c>
      <c r="I537">
        <v>0</v>
      </c>
      <c r="J537">
        <v>0</v>
      </c>
      <c r="K537">
        <v>0</v>
      </c>
      <c r="L537">
        <v>0</v>
      </c>
      <c r="M537">
        <v>1</v>
      </c>
    </row>
    <row r="538" spans="1:13" x14ac:dyDescent="0.25">
      <c r="A538" t="s">
        <v>266</v>
      </c>
      <c r="B538" s="5">
        <v>4.9000000000000004</v>
      </c>
      <c r="C538" t="s">
        <v>661</v>
      </c>
      <c r="D538" t="s">
        <v>662</v>
      </c>
      <c r="E538" t="s">
        <v>663</v>
      </c>
      <c r="F538" s="4">
        <v>65000</v>
      </c>
      <c r="G538" s="4">
        <v>96000</v>
      </c>
      <c r="H538" s="4">
        <f t="shared" si="8"/>
        <v>80500</v>
      </c>
      <c r="I538">
        <v>0</v>
      </c>
      <c r="J538">
        <v>0</v>
      </c>
      <c r="K538">
        <v>0</v>
      </c>
      <c r="L538">
        <v>0</v>
      </c>
      <c r="M538">
        <v>1</v>
      </c>
    </row>
    <row r="539" spans="1:13" x14ac:dyDescent="0.25">
      <c r="A539" t="s">
        <v>0</v>
      </c>
      <c r="B539" s="5">
        <v>5</v>
      </c>
      <c r="C539" t="s">
        <v>664</v>
      </c>
      <c r="D539" t="s">
        <v>665</v>
      </c>
      <c r="E539" t="s">
        <v>666</v>
      </c>
      <c r="F539" s="4">
        <v>89000</v>
      </c>
      <c r="G539" s="4">
        <v>127000</v>
      </c>
      <c r="H539" s="4">
        <f t="shared" si="8"/>
        <v>108000</v>
      </c>
      <c r="I539">
        <v>0</v>
      </c>
      <c r="J539">
        <v>0</v>
      </c>
      <c r="K539">
        <v>0</v>
      </c>
      <c r="L539">
        <v>0</v>
      </c>
      <c r="M539">
        <v>1</v>
      </c>
    </row>
    <row r="540" spans="1:13" x14ac:dyDescent="0.25">
      <c r="A540" t="s">
        <v>0</v>
      </c>
      <c r="C540" t="s">
        <v>667</v>
      </c>
      <c r="D540" t="s">
        <v>668</v>
      </c>
      <c r="E540" t="s">
        <v>666</v>
      </c>
      <c r="F540" s="4">
        <v>114000</v>
      </c>
      <c r="G540" s="4">
        <v>122000</v>
      </c>
      <c r="H540" s="4">
        <f t="shared" si="8"/>
        <v>118000</v>
      </c>
      <c r="I540">
        <v>0</v>
      </c>
      <c r="J540">
        <v>0</v>
      </c>
      <c r="K540">
        <v>0</v>
      </c>
      <c r="L540">
        <v>0</v>
      </c>
      <c r="M540">
        <v>1</v>
      </c>
    </row>
    <row r="541" spans="1:13" x14ac:dyDescent="0.25">
      <c r="A541" t="s">
        <v>669</v>
      </c>
      <c r="B541" s="5">
        <v>4</v>
      </c>
      <c r="C541" t="s">
        <v>670</v>
      </c>
      <c r="D541" t="s">
        <v>668</v>
      </c>
      <c r="E541" t="s">
        <v>666</v>
      </c>
      <c r="F541" s="4">
        <v>80000</v>
      </c>
      <c r="G541" s="4">
        <v>125000</v>
      </c>
      <c r="H541" s="4">
        <f t="shared" si="8"/>
        <v>102500</v>
      </c>
      <c r="I541">
        <v>0</v>
      </c>
      <c r="J541">
        <v>0</v>
      </c>
      <c r="K541">
        <v>0</v>
      </c>
      <c r="L541">
        <v>0</v>
      </c>
      <c r="M541">
        <v>1</v>
      </c>
    </row>
    <row r="542" spans="1:13" x14ac:dyDescent="0.25">
      <c r="A542" t="s">
        <v>671</v>
      </c>
      <c r="B542" s="5">
        <v>3.9</v>
      </c>
      <c r="C542" t="s">
        <v>672</v>
      </c>
      <c r="D542" t="s">
        <v>673</v>
      </c>
      <c r="E542" t="s">
        <v>666</v>
      </c>
      <c r="F542" s="4">
        <v>149000</v>
      </c>
      <c r="G542" s="4">
        <v>238000</v>
      </c>
      <c r="H542" s="4">
        <f t="shared" si="8"/>
        <v>193500</v>
      </c>
      <c r="I542">
        <v>0</v>
      </c>
      <c r="J542">
        <v>0</v>
      </c>
      <c r="K542">
        <v>0</v>
      </c>
      <c r="L542">
        <v>0</v>
      </c>
      <c r="M542">
        <v>1</v>
      </c>
    </row>
    <row r="543" spans="1:13" x14ac:dyDescent="0.25">
      <c r="A543" t="s">
        <v>84</v>
      </c>
      <c r="B543" s="5">
        <v>3.7</v>
      </c>
      <c r="C543" t="s">
        <v>674</v>
      </c>
      <c r="D543" t="s">
        <v>673</v>
      </c>
      <c r="E543" t="s">
        <v>666</v>
      </c>
      <c r="F543" s="4">
        <v>119000</v>
      </c>
      <c r="G543" s="4">
        <v>156000</v>
      </c>
      <c r="H543" s="4">
        <f t="shared" si="8"/>
        <v>137500</v>
      </c>
      <c r="I543">
        <v>0</v>
      </c>
      <c r="J543">
        <v>0</v>
      </c>
      <c r="K543">
        <v>0</v>
      </c>
      <c r="L543">
        <v>0</v>
      </c>
      <c r="M543">
        <v>1</v>
      </c>
    </row>
    <row r="544" spans="1:13" x14ac:dyDescent="0.25">
      <c r="A544" t="s">
        <v>26</v>
      </c>
      <c r="B544" s="5">
        <v>3.5</v>
      </c>
      <c r="C544" t="s">
        <v>675</v>
      </c>
      <c r="D544" t="s">
        <v>673</v>
      </c>
      <c r="E544" t="s">
        <v>666</v>
      </c>
      <c r="F544" s="4">
        <v>99000</v>
      </c>
      <c r="G544" s="4">
        <v>136000</v>
      </c>
      <c r="H544" s="4">
        <f t="shared" si="8"/>
        <v>117500</v>
      </c>
      <c r="I544">
        <v>0</v>
      </c>
      <c r="J544">
        <v>0</v>
      </c>
      <c r="K544">
        <v>0</v>
      </c>
      <c r="L544">
        <v>0</v>
      </c>
      <c r="M544">
        <v>1</v>
      </c>
    </row>
    <row r="545" spans="1:13" x14ac:dyDescent="0.25">
      <c r="A545" t="s">
        <v>676</v>
      </c>
      <c r="B545" s="5">
        <v>3.7</v>
      </c>
      <c r="C545" t="s">
        <v>677</v>
      </c>
      <c r="D545" t="s">
        <v>673</v>
      </c>
      <c r="E545" t="s">
        <v>666</v>
      </c>
      <c r="F545" s="4">
        <v>85000</v>
      </c>
      <c r="G545" s="4">
        <v>115000</v>
      </c>
      <c r="H545" s="4">
        <f t="shared" si="8"/>
        <v>100000</v>
      </c>
      <c r="I545">
        <v>0</v>
      </c>
      <c r="J545">
        <v>0</v>
      </c>
      <c r="K545">
        <v>0</v>
      </c>
      <c r="L545">
        <v>0</v>
      </c>
      <c r="M545">
        <v>1</v>
      </c>
    </row>
    <row r="546" spans="1:13" x14ac:dyDescent="0.25">
      <c r="A546" t="s">
        <v>676</v>
      </c>
      <c r="B546" s="5">
        <v>3.7</v>
      </c>
      <c r="C546" t="s">
        <v>677</v>
      </c>
      <c r="D546" t="s">
        <v>673</v>
      </c>
      <c r="E546" t="s">
        <v>666</v>
      </c>
      <c r="F546" s="4">
        <v>85000</v>
      </c>
      <c r="G546" s="4">
        <v>115000</v>
      </c>
      <c r="H546" s="4">
        <f t="shared" si="8"/>
        <v>100000</v>
      </c>
      <c r="I546">
        <v>0</v>
      </c>
      <c r="J546">
        <v>0</v>
      </c>
      <c r="K546">
        <v>0</v>
      </c>
      <c r="L546">
        <v>0</v>
      </c>
      <c r="M546">
        <v>1</v>
      </c>
    </row>
    <row r="547" spans="1:13" x14ac:dyDescent="0.25">
      <c r="A547" t="s">
        <v>676</v>
      </c>
      <c r="B547" s="5">
        <v>3.7</v>
      </c>
      <c r="C547" t="s">
        <v>677</v>
      </c>
      <c r="D547" t="s">
        <v>673</v>
      </c>
      <c r="E547" t="s">
        <v>666</v>
      </c>
      <c r="F547" s="4">
        <v>85000</v>
      </c>
      <c r="G547" s="4">
        <v>115000</v>
      </c>
      <c r="H547" s="4">
        <f t="shared" si="8"/>
        <v>100000</v>
      </c>
      <c r="I547">
        <v>0</v>
      </c>
      <c r="J547">
        <v>0</v>
      </c>
      <c r="K547">
        <v>0</v>
      </c>
      <c r="L547">
        <v>0</v>
      </c>
      <c r="M547">
        <v>1</v>
      </c>
    </row>
    <row r="548" spans="1:13" x14ac:dyDescent="0.25">
      <c r="A548" t="s">
        <v>676</v>
      </c>
      <c r="B548" s="5">
        <v>3.7</v>
      </c>
      <c r="C548" t="s">
        <v>677</v>
      </c>
      <c r="D548" t="s">
        <v>673</v>
      </c>
      <c r="E548" t="s">
        <v>666</v>
      </c>
      <c r="F548" s="4">
        <v>85000</v>
      </c>
      <c r="G548" s="4">
        <v>115000</v>
      </c>
      <c r="H548" s="4">
        <f t="shared" si="8"/>
        <v>100000</v>
      </c>
      <c r="I548">
        <v>0</v>
      </c>
      <c r="J548">
        <v>0</v>
      </c>
      <c r="K548">
        <v>0</v>
      </c>
      <c r="L548">
        <v>0</v>
      </c>
      <c r="M548">
        <v>1</v>
      </c>
    </row>
    <row r="549" spans="1:13" x14ac:dyDescent="0.25">
      <c r="A549" t="s">
        <v>676</v>
      </c>
      <c r="B549" s="5">
        <v>3.7</v>
      </c>
      <c r="C549" t="s">
        <v>677</v>
      </c>
      <c r="D549" t="s">
        <v>673</v>
      </c>
      <c r="E549" t="s">
        <v>666</v>
      </c>
      <c r="F549" s="4">
        <v>85000</v>
      </c>
      <c r="G549" s="4">
        <v>115000</v>
      </c>
      <c r="H549" s="4">
        <f t="shared" si="8"/>
        <v>100000</v>
      </c>
      <c r="I549">
        <v>0</v>
      </c>
      <c r="J549">
        <v>0</v>
      </c>
      <c r="K549">
        <v>0</v>
      </c>
      <c r="L549">
        <v>0</v>
      </c>
      <c r="M549">
        <v>1</v>
      </c>
    </row>
    <row r="550" spans="1:13" x14ac:dyDescent="0.25">
      <c r="A550" t="s">
        <v>676</v>
      </c>
      <c r="B550" s="5">
        <v>3.7</v>
      </c>
      <c r="C550" t="s">
        <v>677</v>
      </c>
      <c r="D550" t="s">
        <v>673</v>
      </c>
      <c r="E550" t="s">
        <v>666</v>
      </c>
      <c r="F550" s="4">
        <v>85000</v>
      </c>
      <c r="G550" s="4">
        <v>115000</v>
      </c>
      <c r="H550" s="4">
        <f t="shared" si="8"/>
        <v>100000</v>
      </c>
      <c r="I550">
        <v>0</v>
      </c>
      <c r="J550">
        <v>0</v>
      </c>
      <c r="K550">
        <v>0</v>
      </c>
      <c r="L550">
        <v>0</v>
      </c>
      <c r="M550">
        <v>1</v>
      </c>
    </row>
    <row r="551" spans="1:13" x14ac:dyDescent="0.25">
      <c r="A551" t="s">
        <v>676</v>
      </c>
      <c r="B551" s="5">
        <v>3.7</v>
      </c>
      <c r="C551" t="s">
        <v>677</v>
      </c>
      <c r="D551" t="s">
        <v>673</v>
      </c>
      <c r="E551" t="s">
        <v>666</v>
      </c>
      <c r="F551" s="4">
        <v>85000</v>
      </c>
      <c r="G551" s="4">
        <v>115000</v>
      </c>
      <c r="H551" s="4">
        <f t="shared" si="8"/>
        <v>100000</v>
      </c>
      <c r="I551">
        <v>0</v>
      </c>
      <c r="J551">
        <v>0</v>
      </c>
      <c r="K551">
        <v>0</v>
      </c>
      <c r="L551">
        <v>0</v>
      </c>
      <c r="M551">
        <v>1</v>
      </c>
    </row>
    <row r="552" spans="1:13" x14ac:dyDescent="0.25">
      <c r="A552" t="s">
        <v>676</v>
      </c>
      <c r="B552" s="5">
        <v>3.7</v>
      </c>
      <c r="C552" t="s">
        <v>677</v>
      </c>
      <c r="D552" t="s">
        <v>673</v>
      </c>
      <c r="E552" t="s">
        <v>666</v>
      </c>
      <c r="F552" s="4">
        <v>85000</v>
      </c>
      <c r="G552" s="4">
        <v>115000</v>
      </c>
      <c r="H552" s="4">
        <f t="shared" si="8"/>
        <v>100000</v>
      </c>
      <c r="I552">
        <v>0</v>
      </c>
      <c r="J552">
        <v>0</v>
      </c>
      <c r="K552">
        <v>0</v>
      </c>
      <c r="L552">
        <v>0</v>
      </c>
      <c r="M552">
        <v>1</v>
      </c>
    </row>
    <row r="553" spans="1:13" x14ac:dyDescent="0.25">
      <c r="A553" t="s">
        <v>676</v>
      </c>
      <c r="B553" s="5">
        <v>3.7</v>
      </c>
      <c r="C553" t="s">
        <v>677</v>
      </c>
      <c r="D553" t="s">
        <v>673</v>
      </c>
      <c r="E553" t="s">
        <v>666</v>
      </c>
      <c r="F553" s="4">
        <v>85000</v>
      </c>
      <c r="G553" s="4">
        <v>115000</v>
      </c>
      <c r="H553" s="4">
        <f t="shared" si="8"/>
        <v>100000</v>
      </c>
      <c r="I553">
        <v>0</v>
      </c>
      <c r="J553">
        <v>0</v>
      </c>
      <c r="K553">
        <v>0</v>
      </c>
      <c r="L553">
        <v>0</v>
      </c>
      <c r="M553">
        <v>1</v>
      </c>
    </row>
    <row r="554" spans="1:13" x14ac:dyDescent="0.25">
      <c r="A554" t="s">
        <v>676</v>
      </c>
      <c r="B554" s="5">
        <v>3.7</v>
      </c>
      <c r="C554" t="s">
        <v>677</v>
      </c>
      <c r="D554" t="s">
        <v>673</v>
      </c>
      <c r="E554" t="s">
        <v>666</v>
      </c>
      <c r="F554" s="4">
        <v>85000</v>
      </c>
      <c r="G554" s="4">
        <v>115000</v>
      </c>
      <c r="H554" s="4">
        <f t="shared" si="8"/>
        <v>100000</v>
      </c>
      <c r="I554">
        <v>0</v>
      </c>
      <c r="J554">
        <v>0</v>
      </c>
      <c r="K554">
        <v>0</v>
      </c>
      <c r="L554">
        <v>0</v>
      </c>
      <c r="M554">
        <v>1</v>
      </c>
    </row>
    <row r="555" spans="1:13" x14ac:dyDescent="0.25">
      <c r="A555" t="s">
        <v>676</v>
      </c>
      <c r="B555" s="5">
        <v>3.7</v>
      </c>
      <c r="C555" t="s">
        <v>677</v>
      </c>
      <c r="D555" t="s">
        <v>673</v>
      </c>
      <c r="E555" t="s">
        <v>666</v>
      </c>
      <c r="F555" s="4">
        <v>85000</v>
      </c>
      <c r="G555" s="4">
        <v>115000</v>
      </c>
      <c r="H555" s="4">
        <f t="shared" si="8"/>
        <v>100000</v>
      </c>
      <c r="I555">
        <v>0</v>
      </c>
      <c r="J555">
        <v>0</v>
      </c>
      <c r="K555">
        <v>0</v>
      </c>
      <c r="L555">
        <v>0</v>
      </c>
      <c r="M555">
        <v>1</v>
      </c>
    </row>
    <row r="556" spans="1:13" x14ac:dyDescent="0.25">
      <c r="A556" t="s">
        <v>676</v>
      </c>
      <c r="B556" s="5">
        <v>3.7</v>
      </c>
      <c r="C556" t="s">
        <v>677</v>
      </c>
      <c r="D556" t="s">
        <v>673</v>
      </c>
      <c r="E556" t="s">
        <v>666</v>
      </c>
      <c r="F556" s="4">
        <v>85000</v>
      </c>
      <c r="G556" s="4">
        <v>115000</v>
      </c>
      <c r="H556" s="4">
        <f t="shared" si="8"/>
        <v>100000</v>
      </c>
      <c r="I556">
        <v>0</v>
      </c>
      <c r="J556">
        <v>0</v>
      </c>
      <c r="K556">
        <v>0</v>
      </c>
      <c r="L556">
        <v>0</v>
      </c>
      <c r="M556">
        <v>1</v>
      </c>
    </row>
    <row r="557" spans="1:13" x14ac:dyDescent="0.25">
      <c r="A557" t="s">
        <v>676</v>
      </c>
      <c r="B557" s="5">
        <v>3.7</v>
      </c>
      <c r="C557" t="s">
        <v>677</v>
      </c>
      <c r="D557" t="s">
        <v>673</v>
      </c>
      <c r="E557" t="s">
        <v>666</v>
      </c>
      <c r="F557" s="4">
        <v>85000</v>
      </c>
      <c r="G557" s="4">
        <v>115000</v>
      </c>
      <c r="H557" s="4">
        <f t="shared" si="8"/>
        <v>100000</v>
      </c>
      <c r="I557">
        <v>0</v>
      </c>
      <c r="J557">
        <v>0</v>
      </c>
      <c r="K557">
        <v>0</v>
      </c>
      <c r="L557">
        <v>0</v>
      </c>
      <c r="M557">
        <v>1</v>
      </c>
    </row>
    <row r="558" spans="1:13" x14ac:dyDescent="0.25">
      <c r="A558" t="s">
        <v>676</v>
      </c>
      <c r="B558" s="5">
        <v>3.7</v>
      </c>
      <c r="C558" t="s">
        <v>677</v>
      </c>
      <c r="D558" t="s">
        <v>673</v>
      </c>
      <c r="E558" t="s">
        <v>666</v>
      </c>
      <c r="F558" s="4">
        <v>85000</v>
      </c>
      <c r="G558" s="4">
        <v>115000</v>
      </c>
      <c r="H558" s="4">
        <f t="shared" si="8"/>
        <v>100000</v>
      </c>
      <c r="I558">
        <v>0</v>
      </c>
      <c r="J558">
        <v>0</v>
      </c>
      <c r="K558">
        <v>0</v>
      </c>
      <c r="L558">
        <v>0</v>
      </c>
      <c r="M558">
        <v>1</v>
      </c>
    </row>
    <row r="559" spans="1:13" x14ac:dyDescent="0.25">
      <c r="A559" t="s">
        <v>676</v>
      </c>
      <c r="B559" s="5">
        <v>3.7</v>
      </c>
      <c r="C559" t="s">
        <v>677</v>
      </c>
      <c r="D559" t="s">
        <v>673</v>
      </c>
      <c r="E559" t="s">
        <v>666</v>
      </c>
      <c r="F559" s="4">
        <v>85000</v>
      </c>
      <c r="G559" s="4">
        <v>115000</v>
      </c>
      <c r="H559" s="4">
        <f t="shared" si="8"/>
        <v>100000</v>
      </c>
      <c r="I559">
        <v>0</v>
      </c>
      <c r="J559">
        <v>0</v>
      </c>
      <c r="K559">
        <v>0</v>
      </c>
      <c r="L559">
        <v>0</v>
      </c>
      <c r="M559">
        <v>1</v>
      </c>
    </row>
    <row r="560" spans="1:13" x14ac:dyDescent="0.25">
      <c r="A560" t="s">
        <v>676</v>
      </c>
      <c r="B560" s="5">
        <v>3.7</v>
      </c>
      <c r="C560" t="s">
        <v>677</v>
      </c>
      <c r="D560" t="s">
        <v>673</v>
      </c>
      <c r="E560" t="s">
        <v>666</v>
      </c>
      <c r="F560" s="4">
        <v>85000</v>
      </c>
      <c r="G560" s="4">
        <v>115000</v>
      </c>
      <c r="H560" s="4">
        <f t="shared" si="8"/>
        <v>100000</v>
      </c>
      <c r="I560">
        <v>0</v>
      </c>
      <c r="J560">
        <v>0</v>
      </c>
      <c r="K560">
        <v>0</v>
      </c>
      <c r="L560">
        <v>0</v>
      </c>
      <c r="M560">
        <v>1</v>
      </c>
    </row>
    <row r="561" spans="1:13" x14ac:dyDescent="0.25">
      <c r="A561" t="s">
        <v>676</v>
      </c>
      <c r="B561" s="5">
        <v>3.7</v>
      </c>
      <c r="C561" t="s">
        <v>677</v>
      </c>
      <c r="D561" t="s">
        <v>673</v>
      </c>
      <c r="E561" t="s">
        <v>666</v>
      </c>
      <c r="F561" s="4">
        <v>85000</v>
      </c>
      <c r="G561" s="4">
        <v>115000</v>
      </c>
      <c r="H561" s="4">
        <f t="shared" si="8"/>
        <v>100000</v>
      </c>
      <c r="I561">
        <v>0</v>
      </c>
      <c r="J561">
        <v>0</v>
      </c>
      <c r="K561">
        <v>0</v>
      </c>
      <c r="L561">
        <v>0</v>
      </c>
      <c r="M561">
        <v>1</v>
      </c>
    </row>
    <row r="562" spans="1:13" x14ac:dyDescent="0.25">
      <c r="A562" t="s">
        <v>676</v>
      </c>
      <c r="B562" s="5">
        <v>3.7</v>
      </c>
      <c r="C562" t="s">
        <v>677</v>
      </c>
      <c r="D562" t="s">
        <v>673</v>
      </c>
      <c r="E562" t="s">
        <v>666</v>
      </c>
      <c r="F562" s="4">
        <v>85000</v>
      </c>
      <c r="G562" s="4">
        <v>115000</v>
      </c>
      <c r="H562" s="4">
        <f t="shared" si="8"/>
        <v>100000</v>
      </c>
      <c r="I562">
        <v>0</v>
      </c>
      <c r="J562">
        <v>0</v>
      </c>
      <c r="K562">
        <v>0</v>
      </c>
      <c r="L562">
        <v>0</v>
      </c>
      <c r="M562">
        <v>1</v>
      </c>
    </row>
    <row r="563" spans="1:13" x14ac:dyDescent="0.25">
      <c r="A563" t="s">
        <v>676</v>
      </c>
      <c r="B563" s="5">
        <v>3.7</v>
      </c>
      <c r="C563" t="s">
        <v>677</v>
      </c>
      <c r="D563" t="s">
        <v>673</v>
      </c>
      <c r="E563" t="s">
        <v>666</v>
      </c>
      <c r="F563" s="4">
        <v>85000</v>
      </c>
      <c r="G563" s="4">
        <v>115000</v>
      </c>
      <c r="H563" s="4">
        <f t="shared" si="8"/>
        <v>100000</v>
      </c>
      <c r="I563">
        <v>0</v>
      </c>
      <c r="J563">
        <v>0</v>
      </c>
      <c r="K563">
        <v>0</v>
      </c>
      <c r="L563">
        <v>0</v>
      </c>
      <c r="M563">
        <v>1</v>
      </c>
    </row>
    <row r="564" spans="1:13" x14ac:dyDescent="0.25">
      <c r="A564" t="s">
        <v>678</v>
      </c>
      <c r="B564" s="5">
        <v>3.6</v>
      </c>
      <c r="C564" t="s">
        <v>679</v>
      </c>
      <c r="D564" t="s">
        <v>673</v>
      </c>
      <c r="E564" t="s">
        <v>666</v>
      </c>
      <c r="F564" s="4">
        <v>85000</v>
      </c>
      <c r="G564" s="4">
        <v>118000</v>
      </c>
      <c r="H564" s="4">
        <f t="shared" si="8"/>
        <v>101500</v>
      </c>
      <c r="I564">
        <v>0</v>
      </c>
      <c r="J564">
        <v>0</v>
      </c>
      <c r="K564">
        <v>0</v>
      </c>
      <c r="L564">
        <v>0</v>
      </c>
      <c r="M564">
        <v>1</v>
      </c>
    </row>
    <row r="565" spans="1:13" x14ac:dyDescent="0.25">
      <c r="A565" t="s">
        <v>680</v>
      </c>
      <c r="B565" s="5">
        <v>4.0999999999999996</v>
      </c>
      <c r="C565" t="s">
        <v>681</v>
      </c>
      <c r="D565" t="s">
        <v>682</v>
      </c>
      <c r="E565" t="s">
        <v>666</v>
      </c>
      <c r="F565" s="4">
        <v>135000</v>
      </c>
      <c r="G565" s="4">
        <v>183000</v>
      </c>
      <c r="H565" s="4">
        <f t="shared" si="8"/>
        <v>159000</v>
      </c>
      <c r="I565">
        <v>0</v>
      </c>
      <c r="J565">
        <v>0</v>
      </c>
      <c r="K565">
        <v>0</v>
      </c>
      <c r="L565">
        <v>0</v>
      </c>
      <c r="M565">
        <v>1</v>
      </c>
    </row>
    <row r="566" spans="1:13" x14ac:dyDescent="0.25">
      <c r="A566" t="s">
        <v>26</v>
      </c>
      <c r="B566" s="5">
        <v>4.2</v>
      </c>
      <c r="C566" t="s">
        <v>683</v>
      </c>
      <c r="D566" t="s">
        <v>682</v>
      </c>
      <c r="E566" t="s">
        <v>666</v>
      </c>
      <c r="F566" s="4">
        <v>114000</v>
      </c>
      <c r="G566" s="4">
        <v>155000</v>
      </c>
      <c r="H566" s="4">
        <f t="shared" si="8"/>
        <v>134500</v>
      </c>
      <c r="I566">
        <v>1</v>
      </c>
      <c r="J566">
        <v>1</v>
      </c>
      <c r="K566">
        <v>0</v>
      </c>
      <c r="L566">
        <v>0</v>
      </c>
      <c r="M566">
        <v>1</v>
      </c>
    </row>
    <row r="567" spans="1:13" x14ac:dyDescent="0.25">
      <c r="A567" t="s">
        <v>684</v>
      </c>
      <c r="B567" s="5">
        <v>4.0999999999999996</v>
      </c>
      <c r="C567" t="s">
        <v>681</v>
      </c>
      <c r="D567" t="s">
        <v>682</v>
      </c>
      <c r="E567" t="s">
        <v>666</v>
      </c>
      <c r="F567" s="4">
        <v>110000</v>
      </c>
      <c r="G567" s="4">
        <v>167000</v>
      </c>
      <c r="H567" s="4">
        <f t="shared" si="8"/>
        <v>138500</v>
      </c>
      <c r="I567">
        <v>0</v>
      </c>
      <c r="J567">
        <v>0</v>
      </c>
      <c r="K567">
        <v>0</v>
      </c>
      <c r="L567">
        <v>0</v>
      </c>
      <c r="M567">
        <v>1</v>
      </c>
    </row>
    <row r="568" spans="1:13" x14ac:dyDescent="0.25">
      <c r="A568" t="s">
        <v>0</v>
      </c>
      <c r="B568" s="5">
        <v>4.2</v>
      </c>
      <c r="C568" t="s">
        <v>685</v>
      </c>
      <c r="D568" t="s">
        <v>682</v>
      </c>
      <c r="E568" t="s">
        <v>666</v>
      </c>
      <c r="F568" s="4">
        <v>92000</v>
      </c>
      <c r="G568" s="4">
        <v>126000</v>
      </c>
      <c r="H568" s="4">
        <f t="shared" si="8"/>
        <v>109000</v>
      </c>
      <c r="I568">
        <v>0</v>
      </c>
      <c r="J568">
        <v>0</v>
      </c>
      <c r="K568">
        <v>0</v>
      </c>
      <c r="L568">
        <v>0</v>
      </c>
      <c r="M568">
        <v>1</v>
      </c>
    </row>
    <row r="569" spans="1:13" x14ac:dyDescent="0.25">
      <c r="A569" t="s">
        <v>686</v>
      </c>
      <c r="B569" s="5">
        <v>4.2</v>
      </c>
      <c r="C569" t="s">
        <v>113</v>
      </c>
      <c r="D569" t="s">
        <v>687</v>
      </c>
      <c r="E569" t="s">
        <v>666</v>
      </c>
      <c r="F569" s="4">
        <v>83200</v>
      </c>
      <c r="G569" s="4">
        <v>93600</v>
      </c>
      <c r="H569" s="4">
        <f t="shared" si="8"/>
        <v>88400</v>
      </c>
      <c r="I569">
        <v>0</v>
      </c>
      <c r="J569">
        <v>0</v>
      </c>
      <c r="K569">
        <v>0</v>
      </c>
      <c r="L569">
        <v>0</v>
      </c>
      <c r="M569">
        <v>1</v>
      </c>
    </row>
    <row r="570" spans="1:13" x14ac:dyDescent="0.25">
      <c r="A570" t="s">
        <v>0</v>
      </c>
      <c r="B570" s="5">
        <v>4</v>
      </c>
      <c r="C570" t="s">
        <v>688</v>
      </c>
      <c r="D570" t="s">
        <v>689</v>
      </c>
      <c r="E570" t="s">
        <v>666</v>
      </c>
      <c r="F570" s="4">
        <v>88000</v>
      </c>
      <c r="G570" s="4">
        <v>133000</v>
      </c>
      <c r="H570" s="4">
        <f t="shared" si="8"/>
        <v>110500</v>
      </c>
      <c r="I570">
        <v>0</v>
      </c>
      <c r="J570">
        <v>0</v>
      </c>
      <c r="K570">
        <v>0</v>
      </c>
      <c r="L570">
        <v>0</v>
      </c>
      <c r="M570">
        <v>1</v>
      </c>
    </row>
    <row r="571" spans="1:13" x14ac:dyDescent="0.25">
      <c r="A571" t="s">
        <v>84</v>
      </c>
      <c r="B571" s="5">
        <v>4.2</v>
      </c>
      <c r="C571" t="s">
        <v>690</v>
      </c>
      <c r="D571" t="s">
        <v>691</v>
      </c>
      <c r="E571" t="s">
        <v>666</v>
      </c>
      <c r="F571" s="4">
        <v>115000</v>
      </c>
      <c r="G571" s="4">
        <v>154000</v>
      </c>
      <c r="H571" s="4">
        <f t="shared" si="8"/>
        <v>134500</v>
      </c>
      <c r="I571">
        <v>0</v>
      </c>
      <c r="J571">
        <v>0</v>
      </c>
      <c r="K571">
        <v>0</v>
      </c>
      <c r="L571">
        <v>0</v>
      </c>
      <c r="M571">
        <v>1</v>
      </c>
    </row>
    <row r="572" spans="1:13" x14ac:dyDescent="0.25">
      <c r="A572" t="s">
        <v>692</v>
      </c>
      <c r="B572" s="5">
        <v>4</v>
      </c>
      <c r="C572" t="s">
        <v>693</v>
      </c>
      <c r="D572" t="s">
        <v>691</v>
      </c>
      <c r="E572" t="s">
        <v>666</v>
      </c>
      <c r="F572" s="4">
        <v>96000</v>
      </c>
      <c r="G572" s="4">
        <v>132000</v>
      </c>
      <c r="H572" s="4">
        <f t="shared" si="8"/>
        <v>114000</v>
      </c>
      <c r="I572">
        <v>0</v>
      </c>
      <c r="J572">
        <v>0</v>
      </c>
      <c r="K572">
        <v>0</v>
      </c>
      <c r="L572">
        <v>0</v>
      </c>
      <c r="M572">
        <v>1</v>
      </c>
    </row>
    <row r="573" spans="1:13" x14ac:dyDescent="0.25">
      <c r="A573" t="s">
        <v>0</v>
      </c>
      <c r="B573" s="5">
        <v>4</v>
      </c>
      <c r="C573" t="s">
        <v>208</v>
      </c>
      <c r="D573" t="s">
        <v>691</v>
      </c>
      <c r="E573" t="s">
        <v>666</v>
      </c>
      <c r="F573" s="4">
        <v>85000</v>
      </c>
      <c r="G573" s="4">
        <v>116000</v>
      </c>
      <c r="H573" s="4">
        <f t="shared" si="8"/>
        <v>100500</v>
      </c>
      <c r="I573">
        <v>0</v>
      </c>
      <c r="J573">
        <v>0</v>
      </c>
      <c r="K573">
        <v>0</v>
      </c>
      <c r="L573">
        <v>0</v>
      </c>
      <c r="M573">
        <v>1</v>
      </c>
    </row>
    <row r="574" spans="1:13" x14ac:dyDescent="0.25">
      <c r="A574" t="s">
        <v>694</v>
      </c>
      <c r="B574" s="5">
        <v>4</v>
      </c>
      <c r="C574" t="s">
        <v>693</v>
      </c>
      <c r="D574" t="s">
        <v>691</v>
      </c>
      <c r="E574" t="s">
        <v>666</v>
      </c>
      <c r="F574" s="4">
        <v>61000</v>
      </c>
      <c r="G574" s="4">
        <v>90000</v>
      </c>
      <c r="H574" s="4">
        <f t="shared" si="8"/>
        <v>75500</v>
      </c>
      <c r="I574">
        <v>0</v>
      </c>
      <c r="J574">
        <v>0</v>
      </c>
      <c r="K574">
        <v>0</v>
      </c>
      <c r="L574">
        <v>0</v>
      </c>
      <c r="M574">
        <v>1</v>
      </c>
    </row>
    <row r="575" spans="1:13" x14ac:dyDescent="0.25">
      <c r="A575" t="s">
        <v>0</v>
      </c>
      <c r="B575" s="5">
        <v>4</v>
      </c>
      <c r="C575" t="s">
        <v>695</v>
      </c>
      <c r="D575" t="s">
        <v>696</v>
      </c>
      <c r="E575" t="s">
        <v>697</v>
      </c>
      <c r="F575" s="4">
        <v>70000</v>
      </c>
      <c r="G575" s="4">
        <v>100000</v>
      </c>
      <c r="H575" s="4">
        <f t="shared" si="8"/>
        <v>85000</v>
      </c>
      <c r="I575">
        <v>0</v>
      </c>
      <c r="J575">
        <v>0</v>
      </c>
      <c r="K575">
        <v>0</v>
      </c>
      <c r="L575">
        <v>0</v>
      </c>
      <c r="M575">
        <v>1</v>
      </c>
    </row>
    <row r="576" spans="1:13" x14ac:dyDescent="0.25">
      <c r="A576" t="s">
        <v>0</v>
      </c>
      <c r="B576" s="5">
        <v>3.2</v>
      </c>
      <c r="C576" t="s">
        <v>698</v>
      </c>
      <c r="D576" t="s">
        <v>699</v>
      </c>
      <c r="E576" t="s">
        <v>700</v>
      </c>
      <c r="F576" s="4">
        <v>80000</v>
      </c>
      <c r="G576" s="4">
        <v>116000</v>
      </c>
      <c r="H576" s="4">
        <f t="shared" si="8"/>
        <v>98000</v>
      </c>
      <c r="I576">
        <v>1</v>
      </c>
      <c r="J576">
        <v>1</v>
      </c>
      <c r="K576">
        <v>1</v>
      </c>
      <c r="L576">
        <v>0</v>
      </c>
      <c r="M576">
        <v>1</v>
      </c>
    </row>
    <row r="577" spans="1:13" x14ac:dyDescent="0.25">
      <c r="A577" t="s">
        <v>0</v>
      </c>
      <c r="B577" s="5">
        <v>3.1</v>
      </c>
      <c r="C577" t="s">
        <v>701</v>
      </c>
      <c r="D577" t="s">
        <v>699</v>
      </c>
      <c r="E577" t="s">
        <v>700</v>
      </c>
      <c r="F577" s="4">
        <v>79000</v>
      </c>
      <c r="G577" s="4">
        <v>109000</v>
      </c>
      <c r="H577" s="4">
        <f t="shared" si="8"/>
        <v>94000</v>
      </c>
      <c r="I577">
        <v>0</v>
      </c>
      <c r="J577">
        <v>0</v>
      </c>
      <c r="K577">
        <v>0</v>
      </c>
      <c r="L577">
        <v>0</v>
      </c>
      <c r="M577">
        <v>1</v>
      </c>
    </row>
    <row r="578" spans="1:13" x14ac:dyDescent="0.25">
      <c r="A578" t="s">
        <v>702</v>
      </c>
      <c r="B578" s="5">
        <v>3.5</v>
      </c>
      <c r="C578" t="s">
        <v>703</v>
      </c>
      <c r="D578" t="s">
        <v>704</v>
      </c>
      <c r="E578" t="s">
        <v>705</v>
      </c>
      <c r="F578" s="4">
        <v>63000</v>
      </c>
      <c r="G578" s="4">
        <v>89000</v>
      </c>
      <c r="H578" s="4">
        <f t="shared" si="8"/>
        <v>76000</v>
      </c>
      <c r="I578">
        <v>0</v>
      </c>
      <c r="J578">
        <v>0</v>
      </c>
      <c r="K578">
        <v>0</v>
      </c>
      <c r="L578">
        <v>0</v>
      </c>
      <c r="M578">
        <v>1</v>
      </c>
    </row>
    <row r="579" spans="1:13" x14ac:dyDescent="0.25">
      <c r="A579" t="s">
        <v>706</v>
      </c>
      <c r="C579" t="s">
        <v>707</v>
      </c>
      <c r="D579" t="s">
        <v>708</v>
      </c>
      <c r="E579" t="s">
        <v>709</v>
      </c>
      <c r="F579" s="4">
        <v>80000</v>
      </c>
      <c r="G579" s="4">
        <v>100000</v>
      </c>
      <c r="H579" s="4">
        <f t="shared" ref="H579:H642" si="9">(F579+G579)/2</f>
        <v>90000</v>
      </c>
      <c r="I579">
        <v>0</v>
      </c>
      <c r="J579">
        <v>0</v>
      </c>
      <c r="K579">
        <v>0</v>
      </c>
      <c r="L579">
        <v>0</v>
      </c>
      <c r="M579">
        <v>1</v>
      </c>
    </row>
    <row r="580" spans="1:13" x14ac:dyDescent="0.25">
      <c r="A580" t="s">
        <v>30</v>
      </c>
      <c r="B580" s="5">
        <v>3.8</v>
      </c>
      <c r="C580" t="s">
        <v>710</v>
      </c>
      <c r="D580" t="s">
        <v>711</v>
      </c>
      <c r="E580" t="s">
        <v>709</v>
      </c>
      <c r="F580" s="4">
        <v>107000</v>
      </c>
      <c r="G580" s="4">
        <v>199000</v>
      </c>
      <c r="H580" s="4">
        <f t="shared" si="9"/>
        <v>153000</v>
      </c>
      <c r="I580">
        <v>0</v>
      </c>
      <c r="J580">
        <v>0</v>
      </c>
      <c r="K580">
        <v>0</v>
      </c>
      <c r="L580">
        <v>0</v>
      </c>
      <c r="M580">
        <v>1</v>
      </c>
    </row>
    <row r="581" spans="1:13" x14ac:dyDescent="0.25">
      <c r="A581" t="s">
        <v>30</v>
      </c>
      <c r="B581" s="5">
        <v>3.8</v>
      </c>
      <c r="C581" t="s">
        <v>712</v>
      </c>
      <c r="D581" t="s">
        <v>713</v>
      </c>
      <c r="E581" t="s">
        <v>709</v>
      </c>
      <c r="F581" s="4">
        <v>80000</v>
      </c>
      <c r="G581" s="4">
        <v>120000</v>
      </c>
      <c r="H581" s="4">
        <f t="shared" si="9"/>
        <v>100000</v>
      </c>
      <c r="I581">
        <v>0</v>
      </c>
      <c r="J581">
        <v>0</v>
      </c>
      <c r="K581">
        <v>0</v>
      </c>
      <c r="L581">
        <v>0</v>
      </c>
      <c r="M581">
        <v>1</v>
      </c>
    </row>
    <row r="582" spans="1:13" x14ac:dyDescent="0.25">
      <c r="A582" t="s">
        <v>0</v>
      </c>
      <c r="C582" t="s">
        <v>714</v>
      </c>
      <c r="D582" t="s">
        <v>715</v>
      </c>
      <c r="E582" t="s">
        <v>709</v>
      </c>
      <c r="F582" s="4">
        <v>156000</v>
      </c>
      <c r="G582" s="4">
        <v>208000</v>
      </c>
      <c r="H582" s="4">
        <f t="shared" si="9"/>
        <v>182000</v>
      </c>
      <c r="I582">
        <v>0</v>
      </c>
      <c r="J582">
        <v>0</v>
      </c>
      <c r="K582">
        <v>0</v>
      </c>
      <c r="L582">
        <v>0</v>
      </c>
      <c r="M582">
        <v>1</v>
      </c>
    </row>
    <row r="583" spans="1:13" x14ac:dyDescent="0.25">
      <c r="A583" t="s">
        <v>0</v>
      </c>
      <c r="B583" s="5">
        <v>3.1</v>
      </c>
      <c r="C583" t="s">
        <v>716</v>
      </c>
      <c r="D583" t="s">
        <v>717</v>
      </c>
      <c r="E583" t="s">
        <v>709</v>
      </c>
      <c r="F583" s="4">
        <v>95000</v>
      </c>
      <c r="G583" s="4">
        <v>125000</v>
      </c>
      <c r="H583" s="4">
        <f t="shared" si="9"/>
        <v>110000</v>
      </c>
      <c r="I583">
        <v>0</v>
      </c>
      <c r="J583">
        <v>0</v>
      </c>
      <c r="K583">
        <v>0</v>
      </c>
      <c r="L583">
        <v>0</v>
      </c>
      <c r="M583">
        <v>1</v>
      </c>
    </row>
    <row r="584" spans="1:13" x14ac:dyDescent="0.25">
      <c r="A584" t="s">
        <v>718</v>
      </c>
      <c r="B584" s="5">
        <v>2.9</v>
      </c>
      <c r="C584" t="s">
        <v>719</v>
      </c>
      <c r="D584" t="s">
        <v>720</v>
      </c>
      <c r="E584" t="s">
        <v>709</v>
      </c>
      <c r="F584" s="4">
        <v>116000</v>
      </c>
      <c r="G584" s="4">
        <v>154000</v>
      </c>
      <c r="H584" s="4">
        <f t="shared" si="9"/>
        <v>135000</v>
      </c>
      <c r="I584">
        <v>0</v>
      </c>
      <c r="J584">
        <v>0</v>
      </c>
      <c r="K584">
        <v>0</v>
      </c>
      <c r="L584">
        <v>0</v>
      </c>
      <c r="M584">
        <v>1</v>
      </c>
    </row>
    <row r="585" spans="1:13" x14ac:dyDescent="0.25">
      <c r="A585" t="s">
        <v>721</v>
      </c>
      <c r="B585" s="5">
        <v>4.0999999999999996</v>
      </c>
      <c r="C585" t="s">
        <v>722</v>
      </c>
      <c r="D585" t="s">
        <v>723</v>
      </c>
      <c r="E585" t="s">
        <v>709</v>
      </c>
      <c r="F585" s="4">
        <v>77000</v>
      </c>
      <c r="G585" s="4">
        <v>106000</v>
      </c>
      <c r="H585" s="4">
        <f t="shared" si="9"/>
        <v>91500</v>
      </c>
      <c r="I585">
        <v>0</v>
      </c>
      <c r="J585">
        <v>0</v>
      </c>
      <c r="K585">
        <v>0</v>
      </c>
      <c r="L585">
        <v>0</v>
      </c>
      <c r="M585">
        <v>1</v>
      </c>
    </row>
    <row r="586" spans="1:13" x14ac:dyDescent="0.25">
      <c r="A586" t="s">
        <v>0</v>
      </c>
      <c r="C586" t="s">
        <v>724</v>
      </c>
      <c r="D586" t="s">
        <v>725</v>
      </c>
      <c r="E586" t="s">
        <v>709</v>
      </c>
      <c r="F586" s="4">
        <v>145600</v>
      </c>
      <c r="G586" s="4">
        <v>151840</v>
      </c>
      <c r="H586" s="4">
        <f t="shared" si="9"/>
        <v>148720</v>
      </c>
      <c r="I586">
        <v>0</v>
      </c>
      <c r="J586">
        <v>1</v>
      </c>
      <c r="K586">
        <v>1</v>
      </c>
      <c r="L586">
        <v>0</v>
      </c>
      <c r="M586">
        <v>1</v>
      </c>
    </row>
    <row r="587" spans="1:13" x14ac:dyDescent="0.25">
      <c r="A587" t="s">
        <v>0</v>
      </c>
      <c r="C587" t="s">
        <v>724</v>
      </c>
      <c r="D587" t="s">
        <v>725</v>
      </c>
      <c r="E587" t="s">
        <v>709</v>
      </c>
      <c r="F587" s="4">
        <v>145600</v>
      </c>
      <c r="G587" s="4">
        <v>151840</v>
      </c>
      <c r="H587" s="4">
        <f t="shared" si="9"/>
        <v>148720</v>
      </c>
      <c r="I587">
        <v>0</v>
      </c>
      <c r="J587">
        <v>1</v>
      </c>
      <c r="K587">
        <v>1</v>
      </c>
      <c r="L587">
        <v>0</v>
      </c>
      <c r="M587">
        <v>1</v>
      </c>
    </row>
    <row r="588" spans="1:13" x14ac:dyDescent="0.25">
      <c r="A588" t="s">
        <v>0</v>
      </c>
      <c r="C588" t="s">
        <v>724</v>
      </c>
      <c r="D588" t="s">
        <v>725</v>
      </c>
      <c r="E588" t="s">
        <v>709</v>
      </c>
      <c r="F588" s="4">
        <v>145600</v>
      </c>
      <c r="G588" s="4">
        <v>151840</v>
      </c>
      <c r="H588" s="4">
        <f t="shared" si="9"/>
        <v>148720</v>
      </c>
      <c r="I588">
        <v>0</v>
      </c>
      <c r="J588">
        <v>1</v>
      </c>
      <c r="K588">
        <v>1</v>
      </c>
      <c r="L588">
        <v>0</v>
      </c>
      <c r="M588">
        <v>1</v>
      </c>
    </row>
    <row r="589" spans="1:13" x14ac:dyDescent="0.25">
      <c r="A589" t="s">
        <v>0</v>
      </c>
      <c r="C589" t="s">
        <v>724</v>
      </c>
      <c r="D589" t="s">
        <v>725</v>
      </c>
      <c r="E589" t="s">
        <v>709</v>
      </c>
      <c r="F589" s="4">
        <v>145600</v>
      </c>
      <c r="G589" s="4">
        <v>151840</v>
      </c>
      <c r="H589" s="4">
        <f t="shared" si="9"/>
        <v>148720</v>
      </c>
      <c r="I589">
        <v>0</v>
      </c>
      <c r="J589">
        <v>1</v>
      </c>
      <c r="K589">
        <v>1</v>
      </c>
      <c r="L589">
        <v>0</v>
      </c>
      <c r="M589">
        <v>1</v>
      </c>
    </row>
    <row r="590" spans="1:13" x14ac:dyDescent="0.25">
      <c r="A590" t="s">
        <v>0</v>
      </c>
      <c r="C590" t="s">
        <v>724</v>
      </c>
      <c r="D590" t="s">
        <v>725</v>
      </c>
      <c r="E590" t="s">
        <v>709</v>
      </c>
      <c r="F590" s="4">
        <v>145600</v>
      </c>
      <c r="G590" s="4">
        <v>151840</v>
      </c>
      <c r="H590" s="4">
        <f t="shared" si="9"/>
        <v>148720</v>
      </c>
      <c r="I590">
        <v>0</v>
      </c>
      <c r="J590">
        <v>1</v>
      </c>
      <c r="K590">
        <v>1</v>
      </c>
      <c r="L590">
        <v>0</v>
      </c>
      <c r="M590">
        <v>1</v>
      </c>
    </row>
    <row r="591" spans="1:13" x14ac:dyDescent="0.25">
      <c r="A591" t="s">
        <v>0</v>
      </c>
      <c r="C591" t="s">
        <v>724</v>
      </c>
      <c r="D591" t="s">
        <v>725</v>
      </c>
      <c r="E591" t="s">
        <v>709</v>
      </c>
      <c r="F591" s="4">
        <v>145600</v>
      </c>
      <c r="G591" s="4">
        <v>151840</v>
      </c>
      <c r="H591" s="4">
        <f t="shared" si="9"/>
        <v>148720</v>
      </c>
      <c r="I591">
        <v>0</v>
      </c>
      <c r="J591">
        <v>1</v>
      </c>
      <c r="K591">
        <v>1</v>
      </c>
      <c r="L591">
        <v>0</v>
      </c>
      <c r="M591">
        <v>1</v>
      </c>
    </row>
    <row r="592" spans="1:13" x14ac:dyDescent="0.25">
      <c r="A592" t="s">
        <v>0</v>
      </c>
      <c r="C592" t="s">
        <v>724</v>
      </c>
      <c r="D592" t="s">
        <v>725</v>
      </c>
      <c r="E592" t="s">
        <v>709</v>
      </c>
      <c r="F592" s="4">
        <v>145600</v>
      </c>
      <c r="G592" s="4">
        <v>151840</v>
      </c>
      <c r="H592" s="4">
        <f t="shared" si="9"/>
        <v>148720</v>
      </c>
      <c r="I592">
        <v>0</v>
      </c>
      <c r="J592">
        <v>1</v>
      </c>
      <c r="K592">
        <v>1</v>
      </c>
      <c r="L592">
        <v>0</v>
      </c>
      <c r="M592">
        <v>1</v>
      </c>
    </row>
    <row r="593" spans="1:13" x14ac:dyDescent="0.25">
      <c r="A593" t="s">
        <v>0</v>
      </c>
      <c r="C593" t="s">
        <v>724</v>
      </c>
      <c r="D593" t="s">
        <v>725</v>
      </c>
      <c r="E593" t="s">
        <v>709</v>
      </c>
      <c r="F593" s="4">
        <v>145600</v>
      </c>
      <c r="G593" s="4">
        <v>151840</v>
      </c>
      <c r="H593" s="4">
        <f t="shared" si="9"/>
        <v>148720</v>
      </c>
      <c r="I593">
        <v>0</v>
      </c>
      <c r="J593">
        <v>1</v>
      </c>
      <c r="K593">
        <v>1</v>
      </c>
      <c r="L593">
        <v>0</v>
      </c>
      <c r="M593">
        <v>1</v>
      </c>
    </row>
    <row r="594" spans="1:13" x14ac:dyDescent="0.25">
      <c r="A594" t="s">
        <v>0</v>
      </c>
      <c r="C594" t="s">
        <v>724</v>
      </c>
      <c r="D594" t="s">
        <v>725</v>
      </c>
      <c r="E594" t="s">
        <v>709</v>
      </c>
      <c r="F594" s="4">
        <v>145600</v>
      </c>
      <c r="G594" s="4">
        <v>151840</v>
      </c>
      <c r="H594" s="4">
        <f t="shared" si="9"/>
        <v>148720</v>
      </c>
      <c r="I594">
        <v>0</v>
      </c>
      <c r="J594">
        <v>1</v>
      </c>
      <c r="K594">
        <v>1</v>
      </c>
      <c r="L594">
        <v>0</v>
      </c>
      <c r="M594">
        <v>1</v>
      </c>
    </row>
    <row r="595" spans="1:13" x14ac:dyDescent="0.25">
      <c r="A595" t="s">
        <v>0</v>
      </c>
      <c r="C595" t="s">
        <v>724</v>
      </c>
      <c r="D595" t="s">
        <v>725</v>
      </c>
      <c r="E595" t="s">
        <v>709</v>
      </c>
      <c r="F595" s="4">
        <v>145600</v>
      </c>
      <c r="G595" s="4">
        <v>151840</v>
      </c>
      <c r="H595" s="4">
        <f t="shared" si="9"/>
        <v>148720</v>
      </c>
      <c r="I595">
        <v>0</v>
      </c>
      <c r="J595">
        <v>1</v>
      </c>
      <c r="K595">
        <v>1</v>
      </c>
      <c r="L595">
        <v>0</v>
      </c>
      <c r="M595">
        <v>1</v>
      </c>
    </row>
    <row r="596" spans="1:13" x14ac:dyDescent="0.25">
      <c r="A596" t="s">
        <v>0</v>
      </c>
      <c r="C596" t="s">
        <v>724</v>
      </c>
      <c r="D596" t="s">
        <v>725</v>
      </c>
      <c r="E596" t="s">
        <v>709</v>
      </c>
      <c r="F596" s="4">
        <v>145600</v>
      </c>
      <c r="G596" s="4">
        <v>151840</v>
      </c>
      <c r="H596" s="4">
        <f t="shared" si="9"/>
        <v>148720</v>
      </c>
      <c r="I596">
        <v>0</v>
      </c>
      <c r="J596">
        <v>1</v>
      </c>
      <c r="K596">
        <v>1</v>
      </c>
      <c r="L596">
        <v>0</v>
      </c>
      <c r="M596">
        <v>1</v>
      </c>
    </row>
    <row r="597" spans="1:13" x14ac:dyDescent="0.25">
      <c r="A597" t="s">
        <v>0</v>
      </c>
      <c r="C597" t="s">
        <v>724</v>
      </c>
      <c r="D597" t="s">
        <v>725</v>
      </c>
      <c r="E597" t="s">
        <v>709</v>
      </c>
      <c r="F597" s="4">
        <v>145600</v>
      </c>
      <c r="G597" s="4">
        <v>151840</v>
      </c>
      <c r="H597" s="4">
        <f t="shared" si="9"/>
        <v>148720</v>
      </c>
      <c r="I597">
        <v>0</v>
      </c>
      <c r="J597">
        <v>1</v>
      </c>
      <c r="K597">
        <v>1</v>
      </c>
      <c r="L597">
        <v>0</v>
      </c>
      <c r="M597">
        <v>1</v>
      </c>
    </row>
    <row r="598" spans="1:13" x14ac:dyDescent="0.25">
      <c r="A598" t="s">
        <v>0</v>
      </c>
      <c r="C598" t="s">
        <v>724</v>
      </c>
      <c r="D598" t="s">
        <v>725</v>
      </c>
      <c r="E598" t="s">
        <v>709</v>
      </c>
      <c r="F598" s="4">
        <v>145600</v>
      </c>
      <c r="G598" s="4">
        <v>151840</v>
      </c>
      <c r="H598" s="4">
        <f t="shared" si="9"/>
        <v>148720</v>
      </c>
      <c r="I598">
        <v>0</v>
      </c>
      <c r="J598">
        <v>1</v>
      </c>
      <c r="K598">
        <v>1</v>
      </c>
      <c r="L598">
        <v>0</v>
      </c>
      <c r="M598">
        <v>1</v>
      </c>
    </row>
    <row r="599" spans="1:13" x14ac:dyDescent="0.25">
      <c r="A599" t="s">
        <v>0</v>
      </c>
      <c r="C599" t="s">
        <v>724</v>
      </c>
      <c r="D599" t="s">
        <v>725</v>
      </c>
      <c r="E599" t="s">
        <v>709</v>
      </c>
      <c r="F599" s="4">
        <v>145600</v>
      </c>
      <c r="G599" s="4">
        <v>151840</v>
      </c>
      <c r="H599" s="4">
        <f t="shared" si="9"/>
        <v>148720</v>
      </c>
      <c r="I599">
        <v>0</v>
      </c>
      <c r="J599">
        <v>1</v>
      </c>
      <c r="K599">
        <v>1</v>
      </c>
      <c r="L599">
        <v>0</v>
      </c>
      <c r="M599">
        <v>1</v>
      </c>
    </row>
    <row r="600" spans="1:13" x14ac:dyDescent="0.25">
      <c r="A600" t="s">
        <v>0</v>
      </c>
      <c r="C600" t="s">
        <v>724</v>
      </c>
      <c r="D600" t="s">
        <v>725</v>
      </c>
      <c r="E600" t="s">
        <v>709</v>
      </c>
      <c r="F600" s="4">
        <v>145600</v>
      </c>
      <c r="G600" s="4">
        <v>151840</v>
      </c>
      <c r="H600" s="4">
        <f t="shared" si="9"/>
        <v>148720</v>
      </c>
      <c r="I600">
        <v>0</v>
      </c>
      <c r="J600">
        <v>1</v>
      </c>
      <c r="K600">
        <v>1</v>
      </c>
      <c r="L600">
        <v>0</v>
      </c>
      <c r="M600">
        <v>1</v>
      </c>
    </row>
    <row r="601" spans="1:13" x14ac:dyDescent="0.25">
      <c r="A601" t="s">
        <v>0</v>
      </c>
      <c r="C601" t="s">
        <v>724</v>
      </c>
      <c r="D601" t="s">
        <v>725</v>
      </c>
      <c r="E601" t="s">
        <v>709</v>
      </c>
      <c r="F601" s="4">
        <v>145600</v>
      </c>
      <c r="G601" s="4">
        <v>151840</v>
      </c>
      <c r="H601" s="4">
        <f t="shared" si="9"/>
        <v>148720</v>
      </c>
      <c r="I601">
        <v>0</v>
      </c>
      <c r="J601">
        <v>1</v>
      </c>
      <c r="K601">
        <v>1</v>
      </c>
      <c r="L601">
        <v>0</v>
      </c>
      <c r="M601">
        <v>1</v>
      </c>
    </row>
    <row r="602" spans="1:13" x14ac:dyDescent="0.25">
      <c r="A602" t="s">
        <v>0</v>
      </c>
      <c r="C602" t="s">
        <v>724</v>
      </c>
      <c r="D602" t="s">
        <v>725</v>
      </c>
      <c r="E602" t="s">
        <v>709</v>
      </c>
      <c r="F602" s="4">
        <v>145600</v>
      </c>
      <c r="G602" s="4">
        <v>151840</v>
      </c>
      <c r="H602" s="4">
        <f t="shared" si="9"/>
        <v>148720</v>
      </c>
      <c r="I602">
        <v>0</v>
      </c>
      <c r="J602">
        <v>1</v>
      </c>
      <c r="K602">
        <v>1</v>
      </c>
      <c r="L602">
        <v>0</v>
      </c>
      <c r="M602">
        <v>1</v>
      </c>
    </row>
    <row r="603" spans="1:13" x14ac:dyDescent="0.25">
      <c r="A603" t="s">
        <v>726</v>
      </c>
      <c r="B603" s="5">
        <v>4</v>
      </c>
      <c r="C603" t="s">
        <v>727</v>
      </c>
      <c r="D603" t="s">
        <v>725</v>
      </c>
      <c r="E603" t="s">
        <v>709</v>
      </c>
      <c r="F603" s="4">
        <v>143000</v>
      </c>
      <c r="G603" s="4">
        <v>210000</v>
      </c>
      <c r="H603" s="4">
        <f t="shared" si="9"/>
        <v>176500</v>
      </c>
      <c r="I603">
        <v>0</v>
      </c>
      <c r="J603">
        <v>0</v>
      </c>
      <c r="K603">
        <v>0</v>
      </c>
      <c r="L603">
        <v>0</v>
      </c>
      <c r="M603">
        <v>1</v>
      </c>
    </row>
    <row r="604" spans="1:13" x14ac:dyDescent="0.25">
      <c r="A604" t="s">
        <v>678</v>
      </c>
      <c r="B604" s="5">
        <v>3.3</v>
      </c>
      <c r="C604" t="s">
        <v>728</v>
      </c>
      <c r="D604" t="s">
        <v>128</v>
      </c>
      <c r="E604" t="s">
        <v>709</v>
      </c>
      <c r="F604" s="4">
        <v>104000</v>
      </c>
      <c r="G604" s="4">
        <v>142000</v>
      </c>
      <c r="H604" s="4">
        <f t="shared" si="9"/>
        <v>123000</v>
      </c>
      <c r="I604">
        <v>0</v>
      </c>
      <c r="J604">
        <v>0</v>
      </c>
      <c r="K604">
        <v>0</v>
      </c>
      <c r="L604">
        <v>0</v>
      </c>
      <c r="M604">
        <v>1</v>
      </c>
    </row>
    <row r="605" spans="1:13" x14ac:dyDescent="0.25">
      <c r="A605" t="s">
        <v>729</v>
      </c>
      <c r="B605" s="5">
        <v>4.3</v>
      </c>
      <c r="C605" t="s">
        <v>730</v>
      </c>
      <c r="D605" t="s">
        <v>128</v>
      </c>
      <c r="E605" t="s">
        <v>709</v>
      </c>
      <c r="F605" s="4">
        <v>66000</v>
      </c>
      <c r="G605" s="4">
        <v>105000</v>
      </c>
      <c r="H605" s="4">
        <f t="shared" si="9"/>
        <v>85500</v>
      </c>
      <c r="I605">
        <v>0</v>
      </c>
      <c r="J605">
        <v>0</v>
      </c>
      <c r="K605">
        <v>0</v>
      </c>
      <c r="L605">
        <v>0</v>
      </c>
      <c r="M605">
        <v>1</v>
      </c>
    </row>
    <row r="606" spans="1:13" x14ac:dyDescent="0.25">
      <c r="A606" t="s">
        <v>0</v>
      </c>
      <c r="B606" s="5">
        <v>4.2</v>
      </c>
      <c r="C606" t="s">
        <v>731</v>
      </c>
      <c r="D606" t="s">
        <v>732</v>
      </c>
      <c r="E606" t="s">
        <v>709</v>
      </c>
      <c r="F606" s="4">
        <v>112000</v>
      </c>
      <c r="G606" s="4">
        <v>165000</v>
      </c>
      <c r="H606" s="4">
        <f t="shared" si="9"/>
        <v>138500</v>
      </c>
      <c r="I606">
        <v>0</v>
      </c>
      <c r="J606">
        <v>0</v>
      </c>
      <c r="K606">
        <v>0</v>
      </c>
      <c r="L606">
        <v>0</v>
      </c>
      <c r="M606">
        <v>1</v>
      </c>
    </row>
    <row r="607" spans="1:13" x14ac:dyDescent="0.25">
      <c r="A607" t="s">
        <v>733</v>
      </c>
      <c r="B607" s="5">
        <v>3.9</v>
      </c>
      <c r="C607" t="s">
        <v>734</v>
      </c>
      <c r="D607" t="s">
        <v>735</v>
      </c>
      <c r="E607" t="s">
        <v>709</v>
      </c>
      <c r="F607" s="4">
        <v>109000</v>
      </c>
      <c r="G607" s="4">
        <v>149000</v>
      </c>
      <c r="H607" s="4">
        <f t="shared" si="9"/>
        <v>129000</v>
      </c>
      <c r="I607">
        <v>0</v>
      </c>
      <c r="J607">
        <v>0</v>
      </c>
      <c r="K607">
        <v>0</v>
      </c>
      <c r="L607">
        <v>0</v>
      </c>
      <c r="M607">
        <v>1</v>
      </c>
    </row>
    <row r="608" spans="1:13" x14ac:dyDescent="0.25">
      <c r="A608" t="s">
        <v>736</v>
      </c>
      <c r="B608" s="5">
        <v>4.2</v>
      </c>
      <c r="C608" t="s">
        <v>737</v>
      </c>
      <c r="D608" t="s">
        <v>735</v>
      </c>
      <c r="E608" t="s">
        <v>709</v>
      </c>
      <c r="F608" s="4">
        <v>103000</v>
      </c>
      <c r="G608" s="4">
        <v>164000</v>
      </c>
      <c r="H608" s="4">
        <f t="shared" si="9"/>
        <v>133500</v>
      </c>
      <c r="I608">
        <v>0</v>
      </c>
      <c r="J608">
        <v>0</v>
      </c>
      <c r="K608">
        <v>0</v>
      </c>
      <c r="L608">
        <v>0</v>
      </c>
      <c r="M608">
        <v>1</v>
      </c>
    </row>
    <row r="609" spans="1:13" x14ac:dyDescent="0.25">
      <c r="A609" t="s">
        <v>738</v>
      </c>
      <c r="B609" s="5">
        <v>4.5</v>
      </c>
      <c r="C609" t="s">
        <v>739</v>
      </c>
      <c r="D609" t="s">
        <v>735</v>
      </c>
      <c r="E609" t="s">
        <v>709</v>
      </c>
      <c r="F609" s="4">
        <v>97000</v>
      </c>
      <c r="G609" s="4">
        <v>139000</v>
      </c>
      <c r="H609" s="4">
        <f t="shared" si="9"/>
        <v>118000</v>
      </c>
      <c r="I609">
        <v>0</v>
      </c>
      <c r="J609">
        <v>0</v>
      </c>
      <c r="K609">
        <v>0</v>
      </c>
      <c r="L609">
        <v>0</v>
      </c>
      <c r="M609">
        <v>1</v>
      </c>
    </row>
    <row r="610" spans="1:13" x14ac:dyDescent="0.25">
      <c r="A610" t="s">
        <v>0</v>
      </c>
      <c r="B610" s="5">
        <v>5</v>
      </c>
      <c r="C610" t="s">
        <v>740</v>
      </c>
      <c r="D610" t="s">
        <v>735</v>
      </c>
      <c r="E610" t="s">
        <v>709</v>
      </c>
      <c r="F610" s="4">
        <v>81000</v>
      </c>
      <c r="G610" s="4">
        <v>112000</v>
      </c>
      <c r="H610" s="4">
        <f t="shared" si="9"/>
        <v>96500</v>
      </c>
      <c r="I610">
        <v>1</v>
      </c>
      <c r="J610">
        <v>1</v>
      </c>
      <c r="K610">
        <v>0</v>
      </c>
      <c r="L610">
        <v>0</v>
      </c>
      <c r="M610">
        <v>1</v>
      </c>
    </row>
    <row r="611" spans="1:13" x14ac:dyDescent="0.25">
      <c r="A611" t="s">
        <v>30</v>
      </c>
      <c r="B611" s="5">
        <v>4.2</v>
      </c>
      <c r="C611" t="s">
        <v>741</v>
      </c>
      <c r="D611" t="s">
        <v>742</v>
      </c>
      <c r="E611" t="s">
        <v>709</v>
      </c>
      <c r="F611" s="4">
        <v>119000</v>
      </c>
      <c r="G611" s="4">
        <v>187000</v>
      </c>
      <c r="H611" s="4">
        <f t="shared" si="9"/>
        <v>153000</v>
      </c>
      <c r="I611">
        <v>0</v>
      </c>
      <c r="J611">
        <v>0</v>
      </c>
      <c r="K611">
        <v>0</v>
      </c>
      <c r="L611">
        <v>0</v>
      </c>
      <c r="M611">
        <v>1</v>
      </c>
    </row>
    <row r="612" spans="1:13" x14ac:dyDescent="0.25">
      <c r="A612" t="s">
        <v>743</v>
      </c>
      <c r="B612" s="5">
        <v>3.4</v>
      </c>
      <c r="C612" t="s">
        <v>744</v>
      </c>
      <c r="D612" t="s">
        <v>745</v>
      </c>
      <c r="E612" t="s">
        <v>709</v>
      </c>
      <c r="F612" s="4">
        <v>98000</v>
      </c>
      <c r="G612" s="4">
        <v>136000</v>
      </c>
      <c r="H612" s="4">
        <f t="shared" si="9"/>
        <v>117000</v>
      </c>
      <c r="I612">
        <v>0</v>
      </c>
      <c r="J612">
        <v>0</v>
      </c>
      <c r="K612">
        <v>0</v>
      </c>
      <c r="L612">
        <v>0</v>
      </c>
      <c r="M612">
        <v>1</v>
      </c>
    </row>
    <row r="613" spans="1:13" x14ac:dyDescent="0.25">
      <c r="A613" t="s">
        <v>408</v>
      </c>
      <c r="C613" t="s">
        <v>746</v>
      </c>
      <c r="D613" t="s">
        <v>747</v>
      </c>
      <c r="E613" t="s">
        <v>709</v>
      </c>
      <c r="F613" s="4">
        <v>83000</v>
      </c>
      <c r="G613" s="4">
        <v>125000</v>
      </c>
      <c r="H613" s="4">
        <f t="shared" si="9"/>
        <v>104000</v>
      </c>
      <c r="I613">
        <v>0</v>
      </c>
      <c r="J613">
        <v>0</v>
      </c>
      <c r="K613">
        <v>0</v>
      </c>
      <c r="L613">
        <v>0</v>
      </c>
      <c r="M613">
        <v>1</v>
      </c>
    </row>
    <row r="614" spans="1:13" x14ac:dyDescent="0.25">
      <c r="A614" t="s">
        <v>408</v>
      </c>
      <c r="C614" t="s">
        <v>746</v>
      </c>
      <c r="D614" t="s">
        <v>747</v>
      </c>
      <c r="E614" t="s">
        <v>709</v>
      </c>
      <c r="F614" s="4">
        <v>83000</v>
      </c>
      <c r="G614" s="4">
        <v>125000</v>
      </c>
      <c r="H614" s="4">
        <f t="shared" si="9"/>
        <v>104000</v>
      </c>
      <c r="I614">
        <v>0</v>
      </c>
      <c r="J614">
        <v>0</v>
      </c>
      <c r="K614">
        <v>0</v>
      </c>
      <c r="L614">
        <v>0</v>
      </c>
      <c r="M614">
        <v>1</v>
      </c>
    </row>
    <row r="615" spans="1:13" x14ac:dyDescent="0.25">
      <c r="A615" t="s">
        <v>408</v>
      </c>
      <c r="C615" t="s">
        <v>746</v>
      </c>
      <c r="D615" t="s">
        <v>747</v>
      </c>
      <c r="E615" t="s">
        <v>709</v>
      </c>
      <c r="F615" s="4">
        <v>83000</v>
      </c>
      <c r="G615" s="4">
        <v>125000</v>
      </c>
      <c r="H615" s="4">
        <f t="shared" si="9"/>
        <v>104000</v>
      </c>
      <c r="I615">
        <v>0</v>
      </c>
      <c r="J615">
        <v>0</v>
      </c>
      <c r="K615">
        <v>0</v>
      </c>
      <c r="L615">
        <v>0</v>
      </c>
      <c r="M615">
        <v>1</v>
      </c>
    </row>
    <row r="616" spans="1:13" x14ac:dyDescent="0.25">
      <c r="A616" t="s">
        <v>408</v>
      </c>
      <c r="C616" t="s">
        <v>746</v>
      </c>
      <c r="D616" t="s">
        <v>747</v>
      </c>
      <c r="E616" t="s">
        <v>709</v>
      </c>
      <c r="F616" s="4">
        <v>83000</v>
      </c>
      <c r="G616" s="4">
        <v>125000</v>
      </c>
      <c r="H616" s="4">
        <f t="shared" si="9"/>
        <v>104000</v>
      </c>
      <c r="I616">
        <v>0</v>
      </c>
      <c r="J616">
        <v>0</v>
      </c>
      <c r="K616">
        <v>0</v>
      </c>
      <c r="L616">
        <v>0</v>
      </c>
      <c r="M616">
        <v>1</v>
      </c>
    </row>
    <row r="617" spans="1:13" x14ac:dyDescent="0.25">
      <c r="A617" t="s">
        <v>408</v>
      </c>
      <c r="C617" t="s">
        <v>746</v>
      </c>
      <c r="D617" t="s">
        <v>747</v>
      </c>
      <c r="E617" t="s">
        <v>709</v>
      </c>
      <c r="F617" s="4">
        <v>83000</v>
      </c>
      <c r="G617" s="4">
        <v>125000</v>
      </c>
      <c r="H617" s="4">
        <f t="shared" si="9"/>
        <v>104000</v>
      </c>
      <c r="I617">
        <v>0</v>
      </c>
      <c r="J617">
        <v>0</v>
      </c>
      <c r="K617">
        <v>0</v>
      </c>
      <c r="L617">
        <v>0</v>
      </c>
      <c r="M617">
        <v>1</v>
      </c>
    </row>
    <row r="618" spans="1:13" x14ac:dyDescent="0.25">
      <c r="A618" t="s">
        <v>408</v>
      </c>
      <c r="C618" t="s">
        <v>746</v>
      </c>
      <c r="D618" t="s">
        <v>747</v>
      </c>
      <c r="E618" t="s">
        <v>709</v>
      </c>
      <c r="F618" s="4">
        <v>83000</v>
      </c>
      <c r="G618" s="4">
        <v>125000</v>
      </c>
      <c r="H618" s="4">
        <f t="shared" si="9"/>
        <v>104000</v>
      </c>
      <c r="I618">
        <v>0</v>
      </c>
      <c r="J618">
        <v>0</v>
      </c>
      <c r="K618">
        <v>0</v>
      </c>
      <c r="L618">
        <v>0</v>
      </c>
      <c r="M618">
        <v>1</v>
      </c>
    </row>
    <row r="619" spans="1:13" x14ac:dyDescent="0.25">
      <c r="A619" t="s">
        <v>408</v>
      </c>
      <c r="C619" t="s">
        <v>746</v>
      </c>
      <c r="D619" t="s">
        <v>747</v>
      </c>
      <c r="E619" t="s">
        <v>709</v>
      </c>
      <c r="F619" s="4">
        <v>83000</v>
      </c>
      <c r="G619" s="4">
        <v>125000</v>
      </c>
      <c r="H619" s="4">
        <f t="shared" si="9"/>
        <v>104000</v>
      </c>
      <c r="I619">
        <v>0</v>
      </c>
      <c r="J619">
        <v>0</v>
      </c>
      <c r="K619">
        <v>0</v>
      </c>
      <c r="L619">
        <v>0</v>
      </c>
      <c r="M619">
        <v>1</v>
      </c>
    </row>
    <row r="620" spans="1:13" x14ac:dyDescent="0.25">
      <c r="A620" t="s">
        <v>408</v>
      </c>
      <c r="C620" t="s">
        <v>746</v>
      </c>
      <c r="D620" t="s">
        <v>747</v>
      </c>
      <c r="E620" t="s">
        <v>709</v>
      </c>
      <c r="F620" s="4">
        <v>83000</v>
      </c>
      <c r="G620" s="4">
        <v>125000</v>
      </c>
      <c r="H620" s="4">
        <f t="shared" si="9"/>
        <v>104000</v>
      </c>
      <c r="I620">
        <v>0</v>
      </c>
      <c r="J620">
        <v>0</v>
      </c>
      <c r="K620">
        <v>0</v>
      </c>
      <c r="L620">
        <v>0</v>
      </c>
      <c r="M620">
        <v>1</v>
      </c>
    </row>
    <row r="621" spans="1:13" x14ac:dyDescent="0.25">
      <c r="A621" t="s">
        <v>408</v>
      </c>
      <c r="C621" t="s">
        <v>746</v>
      </c>
      <c r="D621" t="s">
        <v>747</v>
      </c>
      <c r="E621" t="s">
        <v>709</v>
      </c>
      <c r="F621" s="4">
        <v>83000</v>
      </c>
      <c r="G621" s="4">
        <v>125000</v>
      </c>
      <c r="H621" s="4">
        <f t="shared" si="9"/>
        <v>104000</v>
      </c>
      <c r="I621">
        <v>0</v>
      </c>
      <c r="J621">
        <v>0</v>
      </c>
      <c r="K621">
        <v>0</v>
      </c>
      <c r="L621">
        <v>0</v>
      </c>
      <c r="M621">
        <v>1</v>
      </c>
    </row>
    <row r="622" spans="1:13" x14ac:dyDescent="0.25">
      <c r="A622" t="s">
        <v>408</v>
      </c>
      <c r="C622" t="s">
        <v>746</v>
      </c>
      <c r="D622" t="s">
        <v>747</v>
      </c>
      <c r="E622" t="s">
        <v>709</v>
      </c>
      <c r="F622" s="4">
        <v>83000</v>
      </c>
      <c r="G622" s="4">
        <v>125000</v>
      </c>
      <c r="H622" s="4">
        <f t="shared" si="9"/>
        <v>104000</v>
      </c>
      <c r="I622">
        <v>0</v>
      </c>
      <c r="J622">
        <v>0</v>
      </c>
      <c r="K622">
        <v>0</v>
      </c>
      <c r="L622">
        <v>0</v>
      </c>
      <c r="M622">
        <v>1</v>
      </c>
    </row>
    <row r="623" spans="1:13" x14ac:dyDescent="0.25">
      <c r="A623" t="s">
        <v>408</v>
      </c>
      <c r="C623" t="s">
        <v>746</v>
      </c>
      <c r="D623" t="s">
        <v>747</v>
      </c>
      <c r="E623" t="s">
        <v>709</v>
      </c>
      <c r="F623" s="4">
        <v>83000</v>
      </c>
      <c r="G623" s="4">
        <v>125000</v>
      </c>
      <c r="H623" s="4">
        <f t="shared" si="9"/>
        <v>104000</v>
      </c>
      <c r="I623">
        <v>0</v>
      </c>
      <c r="J623">
        <v>0</v>
      </c>
      <c r="K623">
        <v>0</v>
      </c>
      <c r="L623">
        <v>0</v>
      </c>
      <c r="M623">
        <v>1</v>
      </c>
    </row>
    <row r="624" spans="1:13" x14ac:dyDescent="0.25">
      <c r="A624" t="s">
        <v>408</v>
      </c>
      <c r="C624" t="s">
        <v>746</v>
      </c>
      <c r="D624" t="s">
        <v>747</v>
      </c>
      <c r="E624" t="s">
        <v>709</v>
      </c>
      <c r="F624" s="4">
        <v>83000</v>
      </c>
      <c r="G624" s="4">
        <v>125000</v>
      </c>
      <c r="H624" s="4">
        <f t="shared" si="9"/>
        <v>104000</v>
      </c>
      <c r="I624">
        <v>0</v>
      </c>
      <c r="J624">
        <v>0</v>
      </c>
      <c r="K624">
        <v>0</v>
      </c>
      <c r="L624">
        <v>0</v>
      </c>
      <c r="M624">
        <v>1</v>
      </c>
    </row>
    <row r="625" spans="1:13" x14ac:dyDescent="0.25">
      <c r="A625" t="s">
        <v>408</v>
      </c>
      <c r="C625" t="s">
        <v>746</v>
      </c>
      <c r="D625" t="s">
        <v>747</v>
      </c>
      <c r="E625" t="s">
        <v>709</v>
      </c>
      <c r="F625" s="4">
        <v>83000</v>
      </c>
      <c r="G625" s="4">
        <v>125000</v>
      </c>
      <c r="H625" s="4">
        <f t="shared" si="9"/>
        <v>104000</v>
      </c>
      <c r="I625">
        <v>0</v>
      </c>
      <c r="J625">
        <v>0</v>
      </c>
      <c r="K625">
        <v>0</v>
      </c>
      <c r="L625">
        <v>0</v>
      </c>
      <c r="M625">
        <v>1</v>
      </c>
    </row>
    <row r="626" spans="1:13" x14ac:dyDescent="0.25">
      <c r="A626" t="s">
        <v>408</v>
      </c>
      <c r="C626" t="s">
        <v>746</v>
      </c>
      <c r="D626" t="s">
        <v>747</v>
      </c>
      <c r="E626" t="s">
        <v>709</v>
      </c>
      <c r="F626" s="4">
        <v>83000</v>
      </c>
      <c r="G626" s="4">
        <v>125000</v>
      </c>
      <c r="H626" s="4">
        <f t="shared" si="9"/>
        <v>104000</v>
      </c>
      <c r="I626">
        <v>0</v>
      </c>
      <c r="J626">
        <v>0</v>
      </c>
      <c r="K626">
        <v>0</v>
      </c>
      <c r="L626">
        <v>0</v>
      </c>
      <c r="M626">
        <v>1</v>
      </c>
    </row>
    <row r="627" spans="1:13" x14ac:dyDescent="0.25">
      <c r="A627" t="s">
        <v>408</v>
      </c>
      <c r="C627" t="s">
        <v>746</v>
      </c>
      <c r="D627" t="s">
        <v>747</v>
      </c>
      <c r="E627" t="s">
        <v>709</v>
      </c>
      <c r="F627" s="4">
        <v>83000</v>
      </c>
      <c r="G627" s="4">
        <v>125000</v>
      </c>
      <c r="H627" s="4">
        <f t="shared" si="9"/>
        <v>104000</v>
      </c>
      <c r="I627">
        <v>0</v>
      </c>
      <c r="J627">
        <v>0</v>
      </c>
      <c r="K627">
        <v>0</v>
      </c>
      <c r="L627">
        <v>0</v>
      </c>
      <c r="M627">
        <v>1</v>
      </c>
    </row>
    <row r="628" spans="1:13" x14ac:dyDescent="0.25">
      <c r="A628" t="s">
        <v>408</v>
      </c>
      <c r="C628" t="s">
        <v>746</v>
      </c>
      <c r="D628" t="s">
        <v>747</v>
      </c>
      <c r="E628" t="s">
        <v>709</v>
      </c>
      <c r="F628" s="4">
        <v>83000</v>
      </c>
      <c r="G628" s="4">
        <v>125000</v>
      </c>
      <c r="H628" s="4">
        <f t="shared" si="9"/>
        <v>104000</v>
      </c>
      <c r="I628">
        <v>0</v>
      </c>
      <c r="J628">
        <v>0</v>
      </c>
      <c r="K628">
        <v>0</v>
      </c>
      <c r="L628">
        <v>0</v>
      </c>
      <c r="M628">
        <v>1</v>
      </c>
    </row>
    <row r="629" spans="1:13" x14ac:dyDescent="0.25">
      <c r="A629" t="s">
        <v>408</v>
      </c>
      <c r="C629" t="s">
        <v>746</v>
      </c>
      <c r="D629" t="s">
        <v>747</v>
      </c>
      <c r="E629" t="s">
        <v>709</v>
      </c>
      <c r="F629" s="4">
        <v>83000</v>
      </c>
      <c r="G629" s="4">
        <v>125000</v>
      </c>
      <c r="H629" s="4">
        <f t="shared" si="9"/>
        <v>104000</v>
      </c>
      <c r="I629">
        <v>0</v>
      </c>
      <c r="J629">
        <v>0</v>
      </c>
      <c r="K629">
        <v>0</v>
      </c>
      <c r="L629">
        <v>0</v>
      </c>
      <c r="M629">
        <v>1</v>
      </c>
    </row>
    <row r="630" spans="1:13" x14ac:dyDescent="0.25">
      <c r="A630" t="s">
        <v>408</v>
      </c>
      <c r="C630" t="s">
        <v>746</v>
      </c>
      <c r="D630" t="s">
        <v>747</v>
      </c>
      <c r="E630" t="s">
        <v>709</v>
      </c>
      <c r="F630" s="4">
        <v>83000</v>
      </c>
      <c r="G630" s="4">
        <v>125000</v>
      </c>
      <c r="H630" s="4">
        <f t="shared" si="9"/>
        <v>104000</v>
      </c>
      <c r="I630">
        <v>0</v>
      </c>
      <c r="J630">
        <v>0</v>
      </c>
      <c r="K630">
        <v>0</v>
      </c>
      <c r="L630">
        <v>0</v>
      </c>
      <c r="M630">
        <v>1</v>
      </c>
    </row>
    <row r="631" spans="1:13" x14ac:dyDescent="0.25">
      <c r="A631" t="s">
        <v>408</v>
      </c>
      <c r="C631" t="s">
        <v>746</v>
      </c>
      <c r="D631" t="s">
        <v>747</v>
      </c>
      <c r="E631" t="s">
        <v>709</v>
      </c>
      <c r="F631" s="4">
        <v>83000</v>
      </c>
      <c r="G631" s="4">
        <v>125000</v>
      </c>
      <c r="H631" s="4">
        <f t="shared" si="9"/>
        <v>104000</v>
      </c>
      <c r="I631">
        <v>0</v>
      </c>
      <c r="J631">
        <v>0</v>
      </c>
      <c r="K631">
        <v>0</v>
      </c>
      <c r="L631">
        <v>0</v>
      </c>
      <c r="M631">
        <v>1</v>
      </c>
    </row>
    <row r="632" spans="1:13" x14ac:dyDescent="0.25">
      <c r="A632" t="s">
        <v>408</v>
      </c>
      <c r="C632" t="s">
        <v>746</v>
      </c>
      <c r="D632" t="s">
        <v>747</v>
      </c>
      <c r="E632" t="s">
        <v>709</v>
      </c>
      <c r="F632" s="4">
        <v>83000</v>
      </c>
      <c r="G632" s="4">
        <v>125000</v>
      </c>
      <c r="H632" s="4">
        <f t="shared" si="9"/>
        <v>104000</v>
      </c>
      <c r="I632">
        <v>0</v>
      </c>
      <c r="J632">
        <v>0</v>
      </c>
      <c r="K632">
        <v>0</v>
      </c>
      <c r="L632">
        <v>0</v>
      </c>
      <c r="M632">
        <v>1</v>
      </c>
    </row>
    <row r="633" spans="1:13" x14ac:dyDescent="0.25">
      <c r="A633" t="s">
        <v>0</v>
      </c>
      <c r="B633" s="5">
        <v>4.2</v>
      </c>
      <c r="C633" t="s">
        <v>539</v>
      </c>
      <c r="D633" t="s">
        <v>748</v>
      </c>
      <c r="E633" t="s">
        <v>709</v>
      </c>
      <c r="F633" s="4">
        <v>104000</v>
      </c>
      <c r="G633" s="4">
        <v>145000</v>
      </c>
      <c r="H633" s="4">
        <f t="shared" si="9"/>
        <v>124500</v>
      </c>
      <c r="I633">
        <v>0</v>
      </c>
      <c r="J633">
        <v>0</v>
      </c>
      <c r="K633">
        <v>0</v>
      </c>
      <c r="L633">
        <v>0</v>
      </c>
      <c r="M633">
        <v>1</v>
      </c>
    </row>
    <row r="634" spans="1:13" x14ac:dyDescent="0.25">
      <c r="A634" t="s">
        <v>749</v>
      </c>
      <c r="C634" t="s">
        <v>750</v>
      </c>
      <c r="D634" t="s">
        <v>751</v>
      </c>
      <c r="E634" t="s">
        <v>709</v>
      </c>
      <c r="F634" s="4">
        <v>53000</v>
      </c>
      <c r="G634" s="4">
        <v>77000</v>
      </c>
      <c r="H634" s="4">
        <f t="shared" si="9"/>
        <v>65000</v>
      </c>
      <c r="I634">
        <v>0</v>
      </c>
      <c r="J634">
        <v>0</v>
      </c>
      <c r="K634">
        <v>0</v>
      </c>
      <c r="L634">
        <v>0</v>
      </c>
      <c r="M634">
        <v>1</v>
      </c>
    </row>
    <row r="635" spans="1:13" x14ac:dyDescent="0.25">
      <c r="A635" t="s">
        <v>749</v>
      </c>
      <c r="C635" t="s">
        <v>750</v>
      </c>
      <c r="D635" t="s">
        <v>751</v>
      </c>
      <c r="E635" t="s">
        <v>709</v>
      </c>
      <c r="F635" s="4">
        <v>53000</v>
      </c>
      <c r="G635" s="4">
        <v>77000</v>
      </c>
      <c r="H635" s="4">
        <f t="shared" si="9"/>
        <v>65000</v>
      </c>
      <c r="I635">
        <v>0</v>
      </c>
      <c r="J635">
        <v>0</v>
      </c>
      <c r="K635">
        <v>0</v>
      </c>
      <c r="L635">
        <v>0</v>
      </c>
      <c r="M635">
        <v>1</v>
      </c>
    </row>
    <row r="636" spans="1:13" x14ac:dyDescent="0.25">
      <c r="A636" t="s">
        <v>749</v>
      </c>
      <c r="C636" t="s">
        <v>750</v>
      </c>
      <c r="D636" t="s">
        <v>751</v>
      </c>
      <c r="E636" t="s">
        <v>709</v>
      </c>
      <c r="F636" s="4">
        <v>53000</v>
      </c>
      <c r="G636" s="4">
        <v>77000</v>
      </c>
      <c r="H636" s="4">
        <f t="shared" si="9"/>
        <v>65000</v>
      </c>
      <c r="I636">
        <v>0</v>
      </c>
      <c r="J636">
        <v>0</v>
      </c>
      <c r="K636">
        <v>0</v>
      </c>
      <c r="L636">
        <v>0</v>
      </c>
      <c r="M636">
        <v>1</v>
      </c>
    </row>
    <row r="637" spans="1:13" x14ac:dyDescent="0.25">
      <c r="A637" t="s">
        <v>749</v>
      </c>
      <c r="C637" t="s">
        <v>750</v>
      </c>
      <c r="D637" t="s">
        <v>751</v>
      </c>
      <c r="E637" t="s">
        <v>709</v>
      </c>
      <c r="F637" s="4">
        <v>53000</v>
      </c>
      <c r="G637" s="4">
        <v>77000</v>
      </c>
      <c r="H637" s="4">
        <f t="shared" si="9"/>
        <v>65000</v>
      </c>
      <c r="I637">
        <v>0</v>
      </c>
      <c r="J637">
        <v>0</v>
      </c>
      <c r="K637">
        <v>0</v>
      </c>
      <c r="L637">
        <v>0</v>
      </c>
      <c r="M637">
        <v>1</v>
      </c>
    </row>
    <row r="638" spans="1:13" x14ac:dyDescent="0.25">
      <c r="A638" t="s">
        <v>749</v>
      </c>
      <c r="C638" t="s">
        <v>750</v>
      </c>
      <c r="D638" t="s">
        <v>751</v>
      </c>
      <c r="E638" t="s">
        <v>709</v>
      </c>
      <c r="F638" s="4">
        <v>53000</v>
      </c>
      <c r="G638" s="4">
        <v>77000</v>
      </c>
      <c r="H638" s="4">
        <f t="shared" si="9"/>
        <v>65000</v>
      </c>
      <c r="I638">
        <v>0</v>
      </c>
      <c r="J638">
        <v>0</v>
      </c>
      <c r="K638">
        <v>0</v>
      </c>
      <c r="L638">
        <v>0</v>
      </c>
      <c r="M638">
        <v>1</v>
      </c>
    </row>
    <row r="639" spans="1:13" x14ac:dyDescent="0.25">
      <c r="A639" t="s">
        <v>749</v>
      </c>
      <c r="C639" t="s">
        <v>750</v>
      </c>
      <c r="D639" t="s">
        <v>751</v>
      </c>
      <c r="E639" t="s">
        <v>709</v>
      </c>
      <c r="F639" s="4">
        <v>53000</v>
      </c>
      <c r="G639" s="4">
        <v>77000</v>
      </c>
      <c r="H639" s="4">
        <f t="shared" si="9"/>
        <v>65000</v>
      </c>
      <c r="I639">
        <v>0</v>
      </c>
      <c r="J639">
        <v>0</v>
      </c>
      <c r="K639">
        <v>0</v>
      </c>
      <c r="L639">
        <v>0</v>
      </c>
      <c r="M639">
        <v>1</v>
      </c>
    </row>
    <row r="640" spans="1:13" x14ac:dyDescent="0.25">
      <c r="A640" t="s">
        <v>749</v>
      </c>
      <c r="C640" t="s">
        <v>750</v>
      </c>
      <c r="D640" t="s">
        <v>751</v>
      </c>
      <c r="E640" t="s">
        <v>709</v>
      </c>
      <c r="F640" s="4">
        <v>53000</v>
      </c>
      <c r="G640" s="4">
        <v>77000</v>
      </c>
      <c r="H640" s="4">
        <f t="shared" si="9"/>
        <v>65000</v>
      </c>
      <c r="I640">
        <v>0</v>
      </c>
      <c r="J640">
        <v>0</v>
      </c>
      <c r="K640">
        <v>0</v>
      </c>
      <c r="L640">
        <v>0</v>
      </c>
      <c r="M640">
        <v>1</v>
      </c>
    </row>
    <row r="641" spans="1:13" x14ac:dyDescent="0.25">
      <c r="A641" t="s">
        <v>749</v>
      </c>
      <c r="C641" t="s">
        <v>750</v>
      </c>
      <c r="D641" t="s">
        <v>751</v>
      </c>
      <c r="E641" t="s">
        <v>709</v>
      </c>
      <c r="F641" s="4">
        <v>53000</v>
      </c>
      <c r="G641" s="4">
        <v>77000</v>
      </c>
      <c r="H641" s="4">
        <f t="shared" si="9"/>
        <v>65000</v>
      </c>
      <c r="I641">
        <v>0</v>
      </c>
      <c r="J641">
        <v>0</v>
      </c>
      <c r="K641">
        <v>0</v>
      </c>
      <c r="L641">
        <v>0</v>
      </c>
      <c r="M641">
        <v>1</v>
      </c>
    </row>
    <row r="642" spans="1:13" x14ac:dyDescent="0.25">
      <c r="A642" t="s">
        <v>749</v>
      </c>
      <c r="C642" t="s">
        <v>750</v>
      </c>
      <c r="D642" t="s">
        <v>751</v>
      </c>
      <c r="E642" t="s">
        <v>709</v>
      </c>
      <c r="F642" s="4">
        <v>53000</v>
      </c>
      <c r="G642" s="4">
        <v>77000</v>
      </c>
      <c r="H642" s="4">
        <f t="shared" si="9"/>
        <v>65000</v>
      </c>
      <c r="I642">
        <v>0</v>
      </c>
      <c r="J642">
        <v>0</v>
      </c>
      <c r="K642">
        <v>0</v>
      </c>
      <c r="L642">
        <v>0</v>
      </c>
      <c r="M642">
        <v>1</v>
      </c>
    </row>
    <row r="643" spans="1:13" x14ac:dyDescent="0.25">
      <c r="A643" t="s">
        <v>749</v>
      </c>
      <c r="C643" t="s">
        <v>750</v>
      </c>
      <c r="D643" t="s">
        <v>751</v>
      </c>
      <c r="E643" t="s">
        <v>709</v>
      </c>
      <c r="F643" s="4">
        <v>53000</v>
      </c>
      <c r="G643" s="4">
        <v>77000</v>
      </c>
      <c r="H643" s="4">
        <f t="shared" ref="H643:H706" si="10">(F643+G643)/2</f>
        <v>65000</v>
      </c>
      <c r="I643">
        <v>0</v>
      </c>
      <c r="J643">
        <v>0</v>
      </c>
      <c r="K643">
        <v>0</v>
      </c>
      <c r="L643">
        <v>0</v>
      </c>
      <c r="M643">
        <v>1</v>
      </c>
    </row>
    <row r="644" spans="1:13" x14ac:dyDescent="0.25">
      <c r="A644" t="s">
        <v>749</v>
      </c>
      <c r="C644" t="s">
        <v>750</v>
      </c>
      <c r="D644" t="s">
        <v>751</v>
      </c>
      <c r="E644" t="s">
        <v>709</v>
      </c>
      <c r="F644" s="4">
        <v>53000</v>
      </c>
      <c r="G644" s="4">
        <v>77000</v>
      </c>
      <c r="H644" s="4">
        <f t="shared" si="10"/>
        <v>65000</v>
      </c>
      <c r="I644">
        <v>0</v>
      </c>
      <c r="J644">
        <v>0</v>
      </c>
      <c r="K644">
        <v>0</v>
      </c>
      <c r="L644">
        <v>0</v>
      </c>
      <c r="M644">
        <v>1</v>
      </c>
    </row>
    <row r="645" spans="1:13" x14ac:dyDescent="0.25">
      <c r="A645" t="s">
        <v>749</v>
      </c>
      <c r="C645" t="s">
        <v>750</v>
      </c>
      <c r="D645" t="s">
        <v>751</v>
      </c>
      <c r="E645" t="s">
        <v>709</v>
      </c>
      <c r="F645" s="4">
        <v>53000</v>
      </c>
      <c r="G645" s="4">
        <v>77000</v>
      </c>
      <c r="H645" s="4">
        <f t="shared" si="10"/>
        <v>65000</v>
      </c>
      <c r="I645">
        <v>0</v>
      </c>
      <c r="J645">
        <v>0</v>
      </c>
      <c r="K645">
        <v>0</v>
      </c>
      <c r="L645">
        <v>0</v>
      </c>
      <c r="M645">
        <v>1</v>
      </c>
    </row>
    <row r="646" spans="1:13" x14ac:dyDescent="0.25">
      <c r="A646" t="s">
        <v>749</v>
      </c>
      <c r="C646" t="s">
        <v>750</v>
      </c>
      <c r="D646" t="s">
        <v>751</v>
      </c>
      <c r="E646" t="s">
        <v>709</v>
      </c>
      <c r="F646" s="4">
        <v>53000</v>
      </c>
      <c r="G646" s="4">
        <v>77000</v>
      </c>
      <c r="H646" s="4">
        <f t="shared" si="10"/>
        <v>65000</v>
      </c>
      <c r="I646">
        <v>0</v>
      </c>
      <c r="J646">
        <v>0</v>
      </c>
      <c r="K646">
        <v>0</v>
      </c>
      <c r="L646">
        <v>0</v>
      </c>
      <c r="M646">
        <v>1</v>
      </c>
    </row>
    <row r="647" spans="1:13" x14ac:dyDescent="0.25">
      <c r="A647" t="s">
        <v>749</v>
      </c>
      <c r="C647" t="s">
        <v>750</v>
      </c>
      <c r="D647" t="s">
        <v>751</v>
      </c>
      <c r="E647" t="s">
        <v>709</v>
      </c>
      <c r="F647" s="4">
        <v>53000</v>
      </c>
      <c r="G647" s="4">
        <v>77000</v>
      </c>
      <c r="H647" s="4">
        <f t="shared" si="10"/>
        <v>65000</v>
      </c>
      <c r="I647">
        <v>0</v>
      </c>
      <c r="J647">
        <v>0</v>
      </c>
      <c r="K647">
        <v>0</v>
      </c>
      <c r="L647">
        <v>0</v>
      </c>
      <c r="M647">
        <v>1</v>
      </c>
    </row>
    <row r="648" spans="1:13" x14ac:dyDescent="0.25">
      <c r="A648" t="s">
        <v>749</v>
      </c>
      <c r="C648" t="s">
        <v>750</v>
      </c>
      <c r="D648" t="s">
        <v>751</v>
      </c>
      <c r="E648" t="s">
        <v>709</v>
      </c>
      <c r="F648" s="4">
        <v>53000</v>
      </c>
      <c r="G648" s="4">
        <v>77000</v>
      </c>
      <c r="H648" s="4">
        <f t="shared" si="10"/>
        <v>65000</v>
      </c>
      <c r="I648">
        <v>0</v>
      </c>
      <c r="J648">
        <v>0</v>
      </c>
      <c r="K648">
        <v>0</v>
      </c>
      <c r="L648">
        <v>0</v>
      </c>
      <c r="M648">
        <v>1</v>
      </c>
    </row>
    <row r="649" spans="1:13" x14ac:dyDescent="0.25">
      <c r="A649" t="s">
        <v>749</v>
      </c>
      <c r="C649" t="s">
        <v>750</v>
      </c>
      <c r="D649" t="s">
        <v>751</v>
      </c>
      <c r="E649" t="s">
        <v>709</v>
      </c>
      <c r="F649" s="4">
        <v>53000</v>
      </c>
      <c r="G649" s="4">
        <v>77000</v>
      </c>
      <c r="H649" s="4">
        <f t="shared" si="10"/>
        <v>65000</v>
      </c>
      <c r="I649">
        <v>0</v>
      </c>
      <c r="J649">
        <v>0</v>
      </c>
      <c r="K649">
        <v>0</v>
      </c>
      <c r="L649">
        <v>0</v>
      </c>
      <c r="M649">
        <v>1</v>
      </c>
    </row>
    <row r="650" spans="1:13" x14ac:dyDescent="0.25">
      <c r="A650" t="s">
        <v>749</v>
      </c>
      <c r="C650" t="s">
        <v>750</v>
      </c>
      <c r="D650" t="s">
        <v>751</v>
      </c>
      <c r="E650" t="s">
        <v>709</v>
      </c>
      <c r="F650" s="4">
        <v>53000</v>
      </c>
      <c r="G650" s="4">
        <v>77000</v>
      </c>
      <c r="H650" s="4">
        <f t="shared" si="10"/>
        <v>65000</v>
      </c>
      <c r="I650">
        <v>0</v>
      </c>
      <c r="J650">
        <v>0</v>
      </c>
      <c r="K650">
        <v>0</v>
      </c>
      <c r="L650">
        <v>0</v>
      </c>
      <c r="M650">
        <v>1</v>
      </c>
    </row>
    <row r="651" spans="1:13" x14ac:dyDescent="0.25">
      <c r="A651" t="s">
        <v>749</v>
      </c>
      <c r="C651" t="s">
        <v>750</v>
      </c>
      <c r="D651" t="s">
        <v>751</v>
      </c>
      <c r="E651" t="s">
        <v>709</v>
      </c>
      <c r="F651" s="4">
        <v>53000</v>
      </c>
      <c r="G651" s="4">
        <v>77000</v>
      </c>
      <c r="H651" s="4">
        <f t="shared" si="10"/>
        <v>65000</v>
      </c>
      <c r="I651">
        <v>0</v>
      </c>
      <c r="J651">
        <v>0</v>
      </c>
      <c r="K651">
        <v>0</v>
      </c>
      <c r="L651">
        <v>0</v>
      </c>
      <c r="M651">
        <v>1</v>
      </c>
    </row>
    <row r="652" spans="1:13" x14ac:dyDescent="0.25">
      <c r="A652" t="s">
        <v>749</v>
      </c>
      <c r="C652" t="s">
        <v>750</v>
      </c>
      <c r="D652" t="s">
        <v>751</v>
      </c>
      <c r="E652" t="s">
        <v>709</v>
      </c>
      <c r="F652" s="4">
        <v>53000</v>
      </c>
      <c r="G652" s="4">
        <v>77000</v>
      </c>
      <c r="H652" s="4">
        <f t="shared" si="10"/>
        <v>65000</v>
      </c>
      <c r="I652">
        <v>0</v>
      </c>
      <c r="J652">
        <v>0</v>
      </c>
      <c r="K652">
        <v>0</v>
      </c>
      <c r="L652">
        <v>0</v>
      </c>
      <c r="M652">
        <v>1</v>
      </c>
    </row>
    <row r="653" spans="1:13" x14ac:dyDescent="0.25">
      <c r="A653" t="s">
        <v>752</v>
      </c>
      <c r="B653" s="5">
        <v>3.8</v>
      </c>
      <c r="C653" t="s">
        <v>753</v>
      </c>
      <c r="D653" t="s">
        <v>754</v>
      </c>
      <c r="E653" t="s">
        <v>755</v>
      </c>
      <c r="F653" s="4">
        <v>5000</v>
      </c>
      <c r="G653" s="4">
        <v>7000</v>
      </c>
      <c r="H653" s="4">
        <f t="shared" si="10"/>
        <v>6000</v>
      </c>
      <c r="I653">
        <v>0</v>
      </c>
      <c r="J653">
        <v>0</v>
      </c>
      <c r="K653">
        <v>0</v>
      </c>
      <c r="L653">
        <v>0</v>
      </c>
      <c r="M653">
        <v>1</v>
      </c>
    </row>
    <row r="654" spans="1:13" x14ac:dyDescent="0.25">
      <c r="A654" t="s">
        <v>0</v>
      </c>
      <c r="B654" s="5">
        <v>3.4</v>
      </c>
      <c r="C654" t="s">
        <v>756</v>
      </c>
      <c r="D654" t="s">
        <v>757</v>
      </c>
      <c r="E654" t="s">
        <v>755</v>
      </c>
      <c r="F654" s="4">
        <v>80000</v>
      </c>
      <c r="G654" s="4">
        <v>80000</v>
      </c>
      <c r="H654" s="4">
        <f t="shared" si="10"/>
        <v>80000</v>
      </c>
      <c r="I654">
        <v>0</v>
      </c>
      <c r="J654">
        <v>0</v>
      </c>
      <c r="K654">
        <v>0</v>
      </c>
      <c r="L654">
        <v>0</v>
      </c>
      <c r="M654">
        <v>1</v>
      </c>
    </row>
    <row r="655" spans="1:13" x14ac:dyDescent="0.25">
      <c r="A655" t="s">
        <v>0</v>
      </c>
      <c r="B655" s="5">
        <v>3.7</v>
      </c>
      <c r="C655" t="s">
        <v>758</v>
      </c>
      <c r="D655" t="s">
        <v>759</v>
      </c>
      <c r="E655" t="s">
        <v>760</v>
      </c>
      <c r="F655" s="4">
        <v>84000</v>
      </c>
      <c r="G655" s="4">
        <v>121000</v>
      </c>
      <c r="H655" s="4">
        <f t="shared" si="10"/>
        <v>102500</v>
      </c>
      <c r="I655">
        <v>0</v>
      </c>
      <c r="J655">
        <v>0</v>
      </c>
      <c r="K655">
        <v>0</v>
      </c>
      <c r="L655">
        <v>0</v>
      </c>
      <c r="M655">
        <v>1</v>
      </c>
    </row>
    <row r="656" spans="1:13" x14ac:dyDescent="0.25">
      <c r="A656" t="s">
        <v>761</v>
      </c>
      <c r="B656" s="5">
        <v>4.5</v>
      </c>
      <c r="C656" t="s">
        <v>762</v>
      </c>
      <c r="D656" t="s">
        <v>763</v>
      </c>
      <c r="E656" t="s">
        <v>764</v>
      </c>
      <c r="F656" s="4">
        <v>130000</v>
      </c>
      <c r="G656" s="4">
        <v>164000</v>
      </c>
      <c r="H656" s="4">
        <f t="shared" si="10"/>
        <v>147000</v>
      </c>
      <c r="I656">
        <v>0</v>
      </c>
      <c r="J656">
        <v>0</v>
      </c>
      <c r="K656">
        <v>0</v>
      </c>
      <c r="L656">
        <v>0</v>
      </c>
      <c r="M656">
        <v>1</v>
      </c>
    </row>
    <row r="657" spans="1:13" x14ac:dyDescent="0.25">
      <c r="A657" t="s">
        <v>765</v>
      </c>
      <c r="B657" s="5">
        <v>4.0999999999999996</v>
      </c>
      <c r="C657" t="s">
        <v>766</v>
      </c>
      <c r="D657" t="s">
        <v>767</v>
      </c>
      <c r="E657" t="s">
        <v>764</v>
      </c>
      <c r="F657" s="4">
        <v>85000</v>
      </c>
      <c r="G657" s="4">
        <v>120000</v>
      </c>
      <c r="H657" s="4">
        <f t="shared" si="10"/>
        <v>102500</v>
      </c>
      <c r="I657">
        <v>0</v>
      </c>
      <c r="J657">
        <v>0</v>
      </c>
      <c r="K657">
        <v>0</v>
      </c>
      <c r="L657">
        <v>0</v>
      </c>
      <c r="M657">
        <v>1</v>
      </c>
    </row>
    <row r="658" spans="1:13" x14ac:dyDescent="0.25">
      <c r="A658" t="s">
        <v>768</v>
      </c>
      <c r="B658" s="5">
        <v>4.3</v>
      </c>
      <c r="C658" t="s">
        <v>769</v>
      </c>
      <c r="D658" t="s">
        <v>770</v>
      </c>
      <c r="E658" t="s">
        <v>764</v>
      </c>
      <c r="F658" s="4">
        <v>202000</v>
      </c>
      <c r="G658" s="4">
        <v>316000</v>
      </c>
      <c r="H658" s="4">
        <f t="shared" si="10"/>
        <v>259000</v>
      </c>
      <c r="I658">
        <v>0</v>
      </c>
      <c r="J658">
        <v>0</v>
      </c>
      <c r="K658">
        <v>0</v>
      </c>
      <c r="L658">
        <v>0</v>
      </c>
      <c r="M658">
        <v>1</v>
      </c>
    </row>
    <row r="659" spans="1:13" x14ac:dyDescent="0.25">
      <c r="A659" t="s">
        <v>0</v>
      </c>
      <c r="B659" s="5">
        <v>1</v>
      </c>
      <c r="C659" t="s">
        <v>771</v>
      </c>
      <c r="D659" t="s">
        <v>770</v>
      </c>
      <c r="E659" t="s">
        <v>764</v>
      </c>
      <c r="F659" s="4">
        <v>180000</v>
      </c>
      <c r="G659" s="4">
        <v>200000</v>
      </c>
      <c r="H659" s="4">
        <f t="shared" si="10"/>
        <v>190000</v>
      </c>
      <c r="I659">
        <v>0</v>
      </c>
      <c r="J659">
        <v>0</v>
      </c>
      <c r="K659">
        <v>0</v>
      </c>
      <c r="L659">
        <v>0</v>
      </c>
      <c r="M659">
        <v>1</v>
      </c>
    </row>
    <row r="660" spans="1:13" x14ac:dyDescent="0.25">
      <c r="A660" t="s">
        <v>772</v>
      </c>
      <c r="B660" s="5">
        <v>4.5</v>
      </c>
      <c r="C660" t="s">
        <v>773</v>
      </c>
      <c r="D660" t="s">
        <v>770</v>
      </c>
      <c r="E660" t="s">
        <v>764</v>
      </c>
      <c r="F660" s="4">
        <v>179000</v>
      </c>
      <c r="G660" s="4">
        <v>210000</v>
      </c>
      <c r="H660" s="4">
        <f t="shared" si="10"/>
        <v>194500</v>
      </c>
      <c r="I660">
        <v>0</v>
      </c>
      <c r="J660">
        <v>0</v>
      </c>
      <c r="K660">
        <v>0</v>
      </c>
      <c r="L660">
        <v>0</v>
      </c>
      <c r="M660">
        <v>1</v>
      </c>
    </row>
    <row r="661" spans="1:13" x14ac:dyDescent="0.25">
      <c r="A661" t="s">
        <v>774</v>
      </c>
      <c r="B661" s="5">
        <v>4.2</v>
      </c>
      <c r="C661" t="s">
        <v>775</v>
      </c>
      <c r="D661" t="s">
        <v>770</v>
      </c>
      <c r="E661" t="s">
        <v>764</v>
      </c>
      <c r="F661" s="4">
        <v>170000</v>
      </c>
      <c r="G661" s="4">
        <v>200000</v>
      </c>
      <c r="H661" s="4">
        <f t="shared" si="10"/>
        <v>185000</v>
      </c>
      <c r="I661">
        <v>0</v>
      </c>
      <c r="J661">
        <v>0</v>
      </c>
      <c r="K661">
        <v>0</v>
      </c>
      <c r="L661">
        <v>0</v>
      </c>
      <c r="M661">
        <v>1</v>
      </c>
    </row>
    <row r="662" spans="1:13" x14ac:dyDescent="0.25">
      <c r="A662" t="s">
        <v>176</v>
      </c>
      <c r="B662" s="5">
        <v>4.8</v>
      </c>
      <c r="C662" t="s">
        <v>177</v>
      </c>
      <c r="D662" t="s">
        <v>770</v>
      </c>
      <c r="E662" t="s">
        <v>764</v>
      </c>
      <c r="F662" s="4">
        <v>160000</v>
      </c>
      <c r="G662" s="4">
        <v>255000</v>
      </c>
      <c r="H662" s="4">
        <f t="shared" si="10"/>
        <v>207500</v>
      </c>
      <c r="I662">
        <v>0</v>
      </c>
      <c r="J662">
        <v>0</v>
      </c>
      <c r="K662">
        <v>0</v>
      </c>
      <c r="L662">
        <v>0</v>
      </c>
      <c r="M662">
        <v>1</v>
      </c>
    </row>
    <row r="663" spans="1:13" x14ac:dyDescent="0.25">
      <c r="A663" t="s">
        <v>776</v>
      </c>
      <c r="B663" s="5">
        <v>3.9</v>
      </c>
      <c r="C663" t="s">
        <v>777</v>
      </c>
      <c r="D663" t="s">
        <v>770</v>
      </c>
      <c r="E663" t="s">
        <v>764</v>
      </c>
      <c r="F663" s="4">
        <v>160000</v>
      </c>
      <c r="G663" s="4">
        <v>225000</v>
      </c>
      <c r="H663" s="4">
        <f t="shared" si="10"/>
        <v>192500</v>
      </c>
      <c r="I663">
        <v>0</v>
      </c>
      <c r="J663">
        <v>0</v>
      </c>
      <c r="K663">
        <v>0</v>
      </c>
      <c r="L663">
        <v>0</v>
      </c>
      <c r="M663">
        <v>1</v>
      </c>
    </row>
    <row r="664" spans="1:13" x14ac:dyDescent="0.25">
      <c r="A664" t="s">
        <v>778</v>
      </c>
      <c r="B664" s="5">
        <v>4.0999999999999996</v>
      </c>
      <c r="C664" t="s">
        <v>779</v>
      </c>
      <c r="D664" t="s">
        <v>770</v>
      </c>
      <c r="E664" t="s">
        <v>764</v>
      </c>
      <c r="F664" s="4">
        <v>157000</v>
      </c>
      <c r="G664" s="4">
        <v>262000</v>
      </c>
      <c r="H664" s="4">
        <f t="shared" si="10"/>
        <v>209500</v>
      </c>
      <c r="I664">
        <v>0</v>
      </c>
      <c r="J664">
        <v>0</v>
      </c>
      <c r="K664">
        <v>0</v>
      </c>
      <c r="L664">
        <v>0</v>
      </c>
      <c r="M664">
        <v>1</v>
      </c>
    </row>
    <row r="665" spans="1:13" x14ac:dyDescent="0.25">
      <c r="A665" t="s">
        <v>0</v>
      </c>
      <c r="B665" s="5">
        <v>4.3</v>
      </c>
      <c r="C665" t="s">
        <v>780</v>
      </c>
      <c r="D665" t="s">
        <v>770</v>
      </c>
      <c r="E665" t="s">
        <v>764</v>
      </c>
      <c r="F665" s="4">
        <v>150000</v>
      </c>
      <c r="G665" s="4">
        <v>200000</v>
      </c>
      <c r="H665" s="4">
        <f t="shared" si="10"/>
        <v>175000</v>
      </c>
      <c r="I665">
        <v>0</v>
      </c>
      <c r="J665">
        <v>0</v>
      </c>
      <c r="K665">
        <v>0</v>
      </c>
      <c r="L665">
        <v>0</v>
      </c>
      <c r="M665">
        <v>1</v>
      </c>
    </row>
    <row r="666" spans="1:13" x14ac:dyDescent="0.25">
      <c r="A666" t="s">
        <v>0</v>
      </c>
      <c r="B666" s="5">
        <v>4.8</v>
      </c>
      <c r="C666" t="s">
        <v>781</v>
      </c>
      <c r="D666" t="s">
        <v>770</v>
      </c>
      <c r="E666" t="s">
        <v>764</v>
      </c>
      <c r="F666" s="4">
        <v>150000</v>
      </c>
      <c r="G666" s="4">
        <v>150000</v>
      </c>
      <c r="H666" s="4">
        <f t="shared" si="10"/>
        <v>150000</v>
      </c>
      <c r="I666">
        <v>0</v>
      </c>
      <c r="J666">
        <v>0</v>
      </c>
      <c r="K666">
        <v>0</v>
      </c>
      <c r="L666">
        <v>0</v>
      </c>
      <c r="M666">
        <v>1</v>
      </c>
    </row>
    <row r="667" spans="1:13" x14ac:dyDescent="0.25">
      <c r="A667" t="s">
        <v>0</v>
      </c>
      <c r="B667" s="5">
        <v>5</v>
      </c>
      <c r="C667" t="s">
        <v>782</v>
      </c>
      <c r="D667" t="s">
        <v>770</v>
      </c>
      <c r="E667" t="s">
        <v>764</v>
      </c>
      <c r="F667" s="4">
        <v>150000</v>
      </c>
      <c r="G667" s="4">
        <v>175000</v>
      </c>
      <c r="H667" s="4">
        <f t="shared" si="10"/>
        <v>162500</v>
      </c>
      <c r="I667">
        <v>0</v>
      </c>
      <c r="J667">
        <v>0</v>
      </c>
      <c r="K667">
        <v>0</v>
      </c>
      <c r="L667">
        <v>0</v>
      </c>
      <c r="M667">
        <v>1</v>
      </c>
    </row>
    <row r="668" spans="1:13" x14ac:dyDescent="0.25">
      <c r="A668" t="s">
        <v>0</v>
      </c>
      <c r="B668" s="5">
        <v>4.8</v>
      </c>
      <c r="C668" t="s">
        <v>783</v>
      </c>
      <c r="D668" t="s">
        <v>770</v>
      </c>
      <c r="E668" t="s">
        <v>764</v>
      </c>
      <c r="F668" s="4">
        <v>150000</v>
      </c>
      <c r="G668" s="4">
        <v>200000</v>
      </c>
      <c r="H668" s="4">
        <f t="shared" si="10"/>
        <v>175000</v>
      </c>
      <c r="I668">
        <v>0</v>
      </c>
      <c r="J668">
        <v>0</v>
      </c>
      <c r="K668">
        <v>0</v>
      </c>
      <c r="L668">
        <v>0</v>
      </c>
      <c r="M668">
        <v>1</v>
      </c>
    </row>
    <row r="669" spans="1:13" x14ac:dyDescent="0.25">
      <c r="A669" t="s">
        <v>553</v>
      </c>
      <c r="B669" s="5">
        <v>3.7</v>
      </c>
      <c r="C669" t="s">
        <v>784</v>
      </c>
      <c r="D669" t="s">
        <v>770</v>
      </c>
      <c r="E669" t="s">
        <v>764</v>
      </c>
      <c r="F669" s="4">
        <v>150000</v>
      </c>
      <c r="G669" s="4">
        <v>200000</v>
      </c>
      <c r="H669" s="4">
        <f t="shared" si="10"/>
        <v>175000</v>
      </c>
      <c r="I669">
        <v>0</v>
      </c>
      <c r="J669">
        <v>0</v>
      </c>
      <c r="K669">
        <v>0</v>
      </c>
      <c r="L669">
        <v>0</v>
      </c>
      <c r="M669">
        <v>1</v>
      </c>
    </row>
    <row r="670" spans="1:13" x14ac:dyDescent="0.25">
      <c r="A670" t="s">
        <v>0</v>
      </c>
      <c r="B670" s="5">
        <v>5</v>
      </c>
      <c r="C670" t="s">
        <v>785</v>
      </c>
      <c r="D670" t="s">
        <v>770</v>
      </c>
      <c r="E670" t="s">
        <v>764</v>
      </c>
      <c r="F670" s="4">
        <v>140000</v>
      </c>
      <c r="G670" s="4">
        <v>140000</v>
      </c>
      <c r="H670" s="4">
        <f t="shared" si="10"/>
        <v>140000</v>
      </c>
      <c r="I670">
        <v>0</v>
      </c>
      <c r="J670">
        <v>0</v>
      </c>
      <c r="K670">
        <v>0</v>
      </c>
      <c r="L670">
        <v>0</v>
      </c>
      <c r="M670">
        <v>1</v>
      </c>
    </row>
    <row r="671" spans="1:13" x14ac:dyDescent="0.25">
      <c r="A671" t="s">
        <v>0</v>
      </c>
      <c r="B671" s="5">
        <v>4</v>
      </c>
      <c r="C671" t="s">
        <v>786</v>
      </c>
      <c r="D671" t="s">
        <v>770</v>
      </c>
      <c r="E671" t="s">
        <v>764</v>
      </c>
      <c r="F671" s="4">
        <v>140000</v>
      </c>
      <c r="G671" s="4">
        <v>140000</v>
      </c>
      <c r="H671" s="4">
        <f t="shared" si="10"/>
        <v>140000</v>
      </c>
      <c r="I671">
        <v>0</v>
      </c>
      <c r="J671">
        <v>0</v>
      </c>
      <c r="K671">
        <v>0</v>
      </c>
      <c r="L671">
        <v>0</v>
      </c>
      <c r="M671">
        <v>1</v>
      </c>
    </row>
    <row r="672" spans="1:13" x14ac:dyDescent="0.25">
      <c r="A672" t="s">
        <v>787</v>
      </c>
      <c r="B672" s="5">
        <v>3.3</v>
      </c>
      <c r="C672" t="s">
        <v>788</v>
      </c>
      <c r="D672" t="s">
        <v>770</v>
      </c>
      <c r="E672" t="s">
        <v>764</v>
      </c>
      <c r="F672" s="4">
        <v>130000</v>
      </c>
      <c r="G672" s="4">
        <v>145000</v>
      </c>
      <c r="H672" s="4">
        <f t="shared" si="10"/>
        <v>137500</v>
      </c>
      <c r="I672">
        <v>0</v>
      </c>
      <c r="J672">
        <v>0</v>
      </c>
      <c r="K672">
        <v>0</v>
      </c>
      <c r="L672">
        <v>0</v>
      </c>
      <c r="M672">
        <v>1</v>
      </c>
    </row>
    <row r="673" spans="1:13" x14ac:dyDescent="0.25">
      <c r="A673" t="s">
        <v>0</v>
      </c>
      <c r="B673" s="5">
        <v>4.3</v>
      </c>
      <c r="C673" t="s">
        <v>789</v>
      </c>
      <c r="D673" t="s">
        <v>770</v>
      </c>
      <c r="E673" t="s">
        <v>764</v>
      </c>
      <c r="F673" s="4">
        <v>130000</v>
      </c>
      <c r="G673" s="4">
        <v>170000</v>
      </c>
      <c r="H673" s="4">
        <f t="shared" si="10"/>
        <v>150000</v>
      </c>
      <c r="I673">
        <v>0</v>
      </c>
      <c r="J673">
        <v>0</v>
      </c>
      <c r="K673">
        <v>0</v>
      </c>
      <c r="L673">
        <v>0</v>
      </c>
      <c r="M673">
        <v>1</v>
      </c>
    </row>
    <row r="674" spans="1:13" x14ac:dyDescent="0.25">
      <c r="A674" t="s">
        <v>790</v>
      </c>
      <c r="B674" s="5">
        <v>4</v>
      </c>
      <c r="C674" t="s">
        <v>727</v>
      </c>
      <c r="D674" t="s">
        <v>770</v>
      </c>
      <c r="E674" t="s">
        <v>764</v>
      </c>
      <c r="F674" s="4">
        <v>128000</v>
      </c>
      <c r="G674" s="4">
        <v>190000</v>
      </c>
      <c r="H674" s="4">
        <f t="shared" si="10"/>
        <v>159000</v>
      </c>
      <c r="I674">
        <v>0</v>
      </c>
      <c r="J674">
        <v>0</v>
      </c>
      <c r="K674">
        <v>0</v>
      </c>
      <c r="L674">
        <v>0</v>
      </c>
      <c r="M674">
        <v>1</v>
      </c>
    </row>
    <row r="675" spans="1:13" x14ac:dyDescent="0.25">
      <c r="A675" t="s">
        <v>790</v>
      </c>
      <c r="B675" s="5">
        <v>4</v>
      </c>
      <c r="C675" t="s">
        <v>727</v>
      </c>
      <c r="D675" t="s">
        <v>770</v>
      </c>
      <c r="E675" t="s">
        <v>764</v>
      </c>
      <c r="F675" s="4">
        <v>128000</v>
      </c>
      <c r="G675" s="4">
        <v>190000</v>
      </c>
      <c r="H675" s="4">
        <f t="shared" si="10"/>
        <v>159000</v>
      </c>
      <c r="I675">
        <v>0</v>
      </c>
      <c r="J675">
        <v>0</v>
      </c>
      <c r="K675">
        <v>0</v>
      </c>
      <c r="L675">
        <v>0</v>
      </c>
      <c r="M675">
        <v>1</v>
      </c>
    </row>
    <row r="676" spans="1:13" x14ac:dyDescent="0.25">
      <c r="A676" t="s">
        <v>790</v>
      </c>
      <c r="B676" s="5">
        <v>4</v>
      </c>
      <c r="C676" t="s">
        <v>727</v>
      </c>
      <c r="D676" t="s">
        <v>770</v>
      </c>
      <c r="E676" t="s">
        <v>764</v>
      </c>
      <c r="F676" s="4">
        <v>128000</v>
      </c>
      <c r="G676" s="4">
        <v>190000</v>
      </c>
      <c r="H676" s="4">
        <f t="shared" si="10"/>
        <v>159000</v>
      </c>
      <c r="I676">
        <v>0</v>
      </c>
      <c r="J676">
        <v>0</v>
      </c>
      <c r="K676">
        <v>0</v>
      </c>
      <c r="L676">
        <v>0</v>
      </c>
      <c r="M676">
        <v>1</v>
      </c>
    </row>
    <row r="677" spans="1:13" x14ac:dyDescent="0.25">
      <c r="A677" t="s">
        <v>790</v>
      </c>
      <c r="B677" s="5">
        <v>4</v>
      </c>
      <c r="C677" t="s">
        <v>727</v>
      </c>
      <c r="D677" t="s">
        <v>770</v>
      </c>
      <c r="E677" t="s">
        <v>764</v>
      </c>
      <c r="F677" s="4">
        <v>128000</v>
      </c>
      <c r="G677" s="4">
        <v>190000</v>
      </c>
      <c r="H677" s="4">
        <f t="shared" si="10"/>
        <v>159000</v>
      </c>
      <c r="I677">
        <v>0</v>
      </c>
      <c r="J677">
        <v>0</v>
      </c>
      <c r="K677">
        <v>0</v>
      </c>
      <c r="L677">
        <v>0</v>
      </c>
      <c r="M677">
        <v>1</v>
      </c>
    </row>
    <row r="678" spans="1:13" x14ac:dyDescent="0.25">
      <c r="A678" t="s">
        <v>790</v>
      </c>
      <c r="B678" s="5">
        <v>4</v>
      </c>
      <c r="C678" t="s">
        <v>727</v>
      </c>
      <c r="D678" t="s">
        <v>770</v>
      </c>
      <c r="E678" t="s">
        <v>764</v>
      </c>
      <c r="F678" s="4">
        <v>128000</v>
      </c>
      <c r="G678" s="4">
        <v>190000</v>
      </c>
      <c r="H678" s="4">
        <f t="shared" si="10"/>
        <v>159000</v>
      </c>
      <c r="I678">
        <v>0</v>
      </c>
      <c r="J678">
        <v>0</v>
      </c>
      <c r="K678">
        <v>0</v>
      </c>
      <c r="L678">
        <v>0</v>
      </c>
      <c r="M678">
        <v>1</v>
      </c>
    </row>
    <row r="679" spans="1:13" x14ac:dyDescent="0.25">
      <c r="A679" t="s">
        <v>790</v>
      </c>
      <c r="B679" s="5">
        <v>4</v>
      </c>
      <c r="C679" t="s">
        <v>727</v>
      </c>
      <c r="D679" t="s">
        <v>770</v>
      </c>
      <c r="E679" t="s">
        <v>764</v>
      </c>
      <c r="F679" s="4">
        <v>128000</v>
      </c>
      <c r="G679" s="4">
        <v>190000</v>
      </c>
      <c r="H679" s="4">
        <f t="shared" si="10"/>
        <v>159000</v>
      </c>
      <c r="I679">
        <v>0</v>
      </c>
      <c r="J679">
        <v>0</v>
      </c>
      <c r="K679">
        <v>0</v>
      </c>
      <c r="L679">
        <v>0</v>
      </c>
      <c r="M679">
        <v>1</v>
      </c>
    </row>
    <row r="680" spans="1:13" x14ac:dyDescent="0.25">
      <c r="A680" t="s">
        <v>790</v>
      </c>
      <c r="B680" s="5">
        <v>4</v>
      </c>
      <c r="C680" t="s">
        <v>727</v>
      </c>
      <c r="D680" t="s">
        <v>770</v>
      </c>
      <c r="E680" t="s">
        <v>764</v>
      </c>
      <c r="F680" s="4">
        <v>128000</v>
      </c>
      <c r="G680" s="4">
        <v>190000</v>
      </c>
      <c r="H680" s="4">
        <f t="shared" si="10"/>
        <v>159000</v>
      </c>
      <c r="I680">
        <v>0</v>
      </c>
      <c r="J680">
        <v>0</v>
      </c>
      <c r="K680">
        <v>0</v>
      </c>
      <c r="L680">
        <v>0</v>
      </c>
      <c r="M680">
        <v>1</v>
      </c>
    </row>
    <row r="681" spans="1:13" x14ac:dyDescent="0.25">
      <c r="A681" t="s">
        <v>790</v>
      </c>
      <c r="B681" s="5">
        <v>4</v>
      </c>
      <c r="C681" t="s">
        <v>727</v>
      </c>
      <c r="D681" t="s">
        <v>770</v>
      </c>
      <c r="E681" t="s">
        <v>764</v>
      </c>
      <c r="F681" s="4">
        <v>128000</v>
      </c>
      <c r="G681" s="4">
        <v>190000</v>
      </c>
      <c r="H681" s="4">
        <f t="shared" si="10"/>
        <v>159000</v>
      </c>
      <c r="I681">
        <v>0</v>
      </c>
      <c r="J681">
        <v>0</v>
      </c>
      <c r="K681">
        <v>0</v>
      </c>
      <c r="L681">
        <v>0</v>
      </c>
      <c r="M681">
        <v>1</v>
      </c>
    </row>
    <row r="682" spans="1:13" x14ac:dyDescent="0.25">
      <c r="A682" t="s">
        <v>790</v>
      </c>
      <c r="B682" s="5">
        <v>4</v>
      </c>
      <c r="C682" t="s">
        <v>727</v>
      </c>
      <c r="D682" t="s">
        <v>770</v>
      </c>
      <c r="E682" t="s">
        <v>764</v>
      </c>
      <c r="F682" s="4">
        <v>128000</v>
      </c>
      <c r="G682" s="4">
        <v>190000</v>
      </c>
      <c r="H682" s="4">
        <f t="shared" si="10"/>
        <v>159000</v>
      </c>
      <c r="I682">
        <v>0</v>
      </c>
      <c r="J682">
        <v>0</v>
      </c>
      <c r="K682">
        <v>0</v>
      </c>
      <c r="L682">
        <v>0</v>
      </c>
      <c r="M682">
        <v>1</v>
      </c>
    </row>
    <row r="683" spans="1:13" x14ac:dyDescent="0.25">
      <c r="A683" t="s">
        <v>790</v>
      </c>
      <c r="B683" s="5">
        <v>4</v>
      </c>
      <c r="C683" t="s">
        <v>727</v>
      </c>
      <c r="D683" t="s">
        <v>770</v>
      </c>
      <c r="E683" t="s">
        <v>764</v>
      </c>
      <c r="F683" s="4">
        <v>128000</v>
      </c>
      <c r="G683" s="4">
        <v>190000</v>
      </c>
      <c r="H683" s="4">
        <f t="shared" si="10"/>
        <v>159000</v>
      </c>
      <c r="I683">
        <v>0</v>
      </c>
      <c r="J683">
        <v>0</v>
      </c>
      <c r="K683">
        <v>0</v>
      </c>
      <c r="L683">
        <v>0</v>
      </c>
      <c r="M683">
        <v>1</v>
      </c>
    </row>
    <row r="684" spans="1:13" x14ac:dyDescent="0.25">
      <c r="A684" t="s">
        <v>790</v>
      </c>
      <c r="B684" s="5">
        <v>4</v>
      </c>
      <c r="C684" t="s">
        <v>727</v>
      </c>
      <c r="D684" t="s">
        <v>770</v>
      </c>
      <c r="E684" t="s">
        <v>764</v>
      </c>
      <c r="F684" s="4">
        <v>128000</v>
      </c>
      <c r="G684" s="4">
        <v>190000</v>
      </c>
      <c r="H684" s="4">
        <f t="shared" si="10"/>
        <v>159000</v>
      </c>
      <c r="I684">
        <v>0</v>
      </c>
      <c r="J684">
        <v>0</v>
      </c>
      <c r="K684">
        <v>0</v>
      </c>
      <c r="L684">
        <v>0</v>
      </c>
      <c r="M684">
        <v>1</v>
      </c>
    </row>
    <row r="685" spans="1:13" x14ac:dyDescent="0.25">
      <c r="A685" t="s">
        <v>790</v>
      </c>
      <c r="B685" s="5">
        <v>4</v>
      </c>
      <c r="C685" t="s">
        <v>727</v>
      </c>
      <c r="D685" t="s">
        <v>770</v>
      </c>
      <c r="E685" t="s">
        <v>764</v>
      </c>
      <c r="F685" s="4">
        <v>128000</v>
      </c>
      <c r="G685" s="4">
        <v>190000</v>
      </c>
      <c r="H685" s="4">
        <f t="shared" si="10"/>
        <v>159000</v>
      </c>
      <c r="I685">
        <v>0</v>
      </c>
      <c r="J685">
        <v>0</v>
      </c>
      <c r="K685">
        <v>0</v>
      </c>
      <c r="L685">
        <v>0</v>
      </c>
      <c r="M685">
        <v>1</v>
      </c>
    </row>
    <row r="686" spans="1:13" x14ac:dyDescent="0.25">
      <c r="A686" t="s">
        <v>790</v>
      </c>
      <c r="B686" s="5">
        <v>4</v>
      </c>
      <c r="C686" t="s">
        <v>727</v>
      </c>
      <c r="D686" t="s">
        <v>770</v>
      </c>
      <c r="E686" t="s">
        <v>764</v>
      </c>
      <c r="F686" s="4">
        <v>128000</v>
      </c>
      <c r="G686" s="4">
        <v>190000</v>
      </c>
      <c r="H686" s="4">
        <f t="shared" si="10"/>
        <v>159000</v>
      </c>
      <c r="I686">
        <v>0</v>
      </c>
      <c r="J686">
        <v>0</v>
      </c>
      <c r="K686">
        <v>0</v>
      </c>
      <c r="L686">
        <v>0</v>
      </c>
      <c r="M686">
        <v>1</v>
      </c>
    </row>
    <row r="687" spans="1:13" x14ac:dyDescent="0.25">
      <c r="A687" t="s">
        <v>790</v>
      </c>
      <c r="B687" s="5">
        <v>4</v>
      </c>
      <c r="C687" t="s">
        <v>727</v>
      </c>
      <c r="D687" t="s">
        <v>770</v>
      </c>
      <c r="E687" t="s">
        <v>764</v>
      </c>
      <c r="F687" s="4">
        <v>128000</v>
      </c>
      <c r="G687" s="4">
        <v>190000</v>
      </c>
      <c r="H687" s="4">
        <f t="shared" si="10"/>
        <v>159000</v>
      </c>
      <c r="I687">
        <v>0</v>
      </c>
      <c r="J687">
        <v>0</v>
      </c>
      <c r="K687">
        <v>0</v>
      </c>
      <c r="L687">
        <v>0</v>
      </c>
      <c r="M687">
        <v>1</v>
      </c>
    </row>
    <row r="688" spans="1:13" x14ac:dyDescent="0.25">
      <c r="A688" t="s">
        <v>790</v>
      </c>
      <c r="B688" s="5">
        <v>4</v>
      </c>
      <c r="C688" t="s">
        <v>727</v>
      </c>
      <c r="D688" t="s">
        <v>770</v>
      </c>
      <c r="E688" t="s">
        <v>764</v>
      </c>
      <c r="F688" s="4">
        <v>128000</v>
      </c>
      <c r="G688" s="4">
        <v>190000</v>
      </c>
      <c r="H688" s="4">
        <f t="shared" si="10"/>
        <v>159000</v>
      </c>
      <c r="I688">
        <v>0</v>
      </c>
      <c r="J688">
        <v>0</v>
      </c>
      <c r="K688">
        <v>0</v>
      </c>
      <c r="L688">
        <v>0</v>
      </c>
      <c r="M688">
        <v>1</v>
      </c>
    </row>
    <row r="689" spans="1:13" x14ac:dyDescent="0.25">
      <c r="A689" t="s">
        <v>790</v>
      </c>
      <c r="B689" s="5">
        <v>4</v>
      </c>
      <c r="C689" t="s">
        <v>727</v>
      </c>
      <c r="D689" t="s">
        <v>770</v>
      </c>
      <c r="E689" t="s">
        <v>764</v>
      </c>
      <c r="F689" s="4">
        <v>128000</v>
      </c>
      <c r="G689" s="4">
        <v>190000</v>
      </c>
      <c r="H689" s="4">
        <f t="shared" si="10"/>
        <v>159000</v>
      </c>
      <c r="I689">
        <v>0</v>
      </c>
      <c r="J689">
        <v>0</v>
      </c>
      <c r="K689">
        <v>0</v>
      </c>
      <c r="L689">
        <v>0</v>
      </c>
      <c r="M689">
        <v>1</v>
      </c>
    </row>
    <row r="690" spans="1:13" x14ac:dyDescent="0.25">
      <c r="A690" t="s">
        <v>678</v>
      </c>
      <c r="B690" s="5">
        <v>3.9</v>
      </c>
      <c r="C690" t="s">
        <v>246</v>
      </c>
      <c r="D690" t="s">
        <v>770</v>
      </c>
      <c r="E690" t="s">
        <v>764</v>
      </c>
      <c r="F690" s="4">
        <v>113000</v>
      </c>
      <c r="G690" s="4">
        <v>151000</v>
      </c>
      <c r="H690" s="4">
        <f t="shared" si="10"/>
        <v>132000</v>
      </c>
      <c r="I690">
        <v>0</v>
      </c>
      <c r="J690">
        <v>0</v>
      </c>
      <c r="K690">
        <v>0</v>
      </c>
      <c r="L690">
        <v>0</v>
      </c>
      <c r="M690">
        <v>1</v>
      </c>
    </row>
    <row r="691" spans="1:13" x14ac:dyDescent="0.25">
      <c r="A691" t="s">
        <v>791</v>
      </c>
      <c r="B691" s="5">
        <v>3.5</v>
      </c>
      <c r="C691" t="s">
        <v>792</v>
      </c>
      <c r="D691" t="s">
        <v>770</v>
      </c>
      <c r="E691" t="s">
        <v>764</v>
      </c>
      <c r="F691" s="4">
        <v>110000</v>
      </c>
      <c r="G691" s="4">
        <v>151000</v>
      </c>
      <c r="H691" s="4">
        <f t="shared" si="10"/>
        <v>130500</v>
      </c>
      <c r="I691">
        <v>0</v>
      </c>
      <c r="J691">
        <v>0</v>
      </c>
      <c r="K691">
        <v>0</v>
      </c>
      <c r="L691">
        <v>0</v>
      </c>
      <c r="M691">
        <v>1</v>
      </c>
    </row>
    <row r="692" spans="1:13" x14ac:dyDescent="0.25">
      <c r="A692" t="s">
        <v>0</v>
      </c>
      <c r="B692" s="5">
        <v>4</v>
      </c>
      <c r="C692" t="s">
        <v>793</v>
      </c>
      <c r="D692" t="s">
        <v>770</v>
      </c>
      <c r="E692" t="s">
        <v>764</v>
      </c>
      <c r="F692" s="4">
        <v>105000</v>
      </c>
      <c r="G692" s="4">
        <v>120000</v>
      </c>
      <c r="H692" s="4">
        <f t="shared" si="10"/>
        <v>112500</v>
      </c>
      <c r="I692">
        <v>0</v>
      </c>
      <c r="J692">
        <v>1</v>
      </c>
      <c r="K692">
        <v>0</v>
      </c>
      <c r="L692">
        <v>1</v>
      </c>
      <c r="M692">
        <v>1</v>
      </c>
    </row>
    <row r="693" spans="1:13" x14ac:dyDescent="0.25">
      <c r="A693" t="s">
        <v>794</v>
      </c>
      <c r="B693" s="5">
        <v>3.8</v>
      </c>
      <c r="C693" t="s">
        <v>795</v>
      </c>
      <c r="D693" t="s">
        <v>770</v>
      </c>
      <c r="E693" t="s">
        <v>764</v>
      </c>
      <c r="F693" s="4">
        <v>100000</v>
      </c>
      <c r="G693" s="4">
        <v>140000</v>
      </c>
      <c r="H693" s="4">
        <f t="shared" si="10"/>
        <v>120000</v>
      </c>
      <c r="I693">
        <v>0</v>
      </c>
      <c r="J693">
        <v>0</v>
      </c>
      <c r="K693">
        <v>0</v>
      </c>
      <c r="L693">
        <v>0</v>
      </c>
      <c r="M693">
        <v>1</v>
      </c>
    </row>
    <row r="694" spans="1:13" x14ac:dyDescent="0.25">
      <c r="A694" t="s">
        <v>796</v>
      </c>
      <c r="B694" s="5">
        <v>4</v>
      </c>
      <c r="C694" t="s">
        <v>797</v>
      </c>
      <c r="D694" t="s">
        <v>770</v>
      </c>
      <c r="E694" t="s">
        <v>764</v>
      </c>
      <c r="F694" s="4">
        <v>97000</v>
      </c>
      <c r="G694" s="4">
        <v>234000</v>
      </c>
      <c r="H694" s="4">
        <f t="shared" si="10"/>
        <v>165500</v>
      </c>
      <c r="I694">
        <v>0</v>
      </c>
      <c r="J694">
        <v>0</v>
      </c>
      <c r="K694">
        <v>0</v>
      </c>
      <c r="L694">
        <v>0</v>
      </c>
      <c r="M694">
        <v>1</v>
      </c>
    </row>
    <row r="695" spans="1:13" x14ac:dyDescent="0.25">
      <c r="A695" t="s">
        <v>0</v>
      </c>
      <c r="B695" s="5">
        <v>3.9</v>
      </c>
      <c r="C695" t="s">
        <v>798</v>
      </c>
      <c r="D695" t="s">
        <v>770</v>
      </c>
      <c r="E695" t="s">
        <v>764</v>
      </c>
      <c r="F695" s="4">
        <v>90000</v>
      </c>
      <c r="G695" s="4">
        <v>100000</v>
      </c>
      <c r="H695" s="4">
        <f t="shared" si="10"/>
        <v>95000</v>
      </c>
      <c r="I695">
        <v>0</v>
      </c>
      <c r="J695">
        <v>0</v>
      </c>
      <c r="K695">
        <v>0</v>
      </c>
      <c r="L695">
        <v>0</v>
      </c>
      <c r="M695">
        <v>1</v>
      </c>
    </row>
    <row r="696" spans="1:13" x14ac:dyDescent="0.25">
      <c r="A696" t="s">
        <v>0</v>
      </c>
      <c r="B696" s="5">
        <v>3.9</v>
      </c>
      <c r="C696" t="s">
        <v>799</v>
      </c>
      <c r="D696" t="s">
        <v>770</v>
      </c>
      <c r="E696" t="s">
        <v>764</v>
      </c>
      <c r="F696" s="4">
        <v>75000</v>
      </c>
      <c r="G696" s="4">
        <v>85000</v>
      </c>
      <c r="H696" s="4">
        <f t="shared" si="10"/>
        <v>80000</v>
      </c>
      <c r="I696">
        <v>0</v>
      </c>
      <c r="J696">
        <v>0</v>
      </c>
      <c r="K696">
        <v>0</v>
      </c>
      <c r="L696">
        <v>0</v>
      </c>
      <c r="M696">
        <v>1</v>
      </c>
    </row>
    <row r="697" spans="1:13" x14ac:dyDescent="0.25">
      <c r="A697" t="s">
        <v>800</v>
      </c>
      <c r="B697" s="5">
        <v>4</v>
      </c>
      <c r="C697" t="s">
        <v>797</v>
      </c>
      <c r="D697" t="s">
        <v>770</v>
      </c>
      <c r="E697" t="s">
        <v>764</v>
      </c>
      <c r="F697" s="4">
        <v>73000</v>
      </c>
      <c r="G697" s="4">
        <v>176000</v>
      </c>
      <c r="H697" s="4">
        <f t="shared" si="10"/>
        <v>124500</v>
      </c>
      <c r="I697">
        <v>0</v>
      </c>
      <c r="J697">
        <v>0</v>
      </c>
      <c r="K697">
        <v>0</v>
      </c>
      <c r="L697">
        <v>0</v>
      </c>
      <c r="M697">
        <v>1</v>
      </c>
    </row>
    <row r="698" spans="1:13" x14ac:dyDescent="0.25">
      <c r="A698" t="s">
        <v>801</v>
      </c>
      <c r="B698" s="5">
        <v>3.5</v>
      </c>
      <c r="C698" t="s">
        <v>802</v>
      </c>
      <c r="D698" t="s">
        <v>770</v>
      </c>
      <c r="E698" t="s">
        <v>764</v>
      </c>
      <c r="F698" s="4">
        <v>72000</v>
      </c>
      <c r="G698" s="4">
        <v>109000</v>
      </c>
      <c r="H698" s="4">
        <f t="shared" si="10"/>
        <v>90500</v>
      </c>
      <c r="I698">
        <v>0</v>
      </c>
      <c r="J698">
        <v>0</v>
      </c>
      <c r="K698">
        <v>0</v>
      </c>
      <c r="L698">
        <v>0</v>
      </c>
      <c r="M698">
        <v>1</v>
      </c>
    </row>
    <row r="699" spans="1:13" x14ac:dyDescent="0.25">
      <c r="A699" t="s">
        <v>266</v>
      </c>
      <c r="B699" s="5">
        <v>3.9</v>
      </c>
      <c r="C699" t="s">
        <v>803</v>
      </c>
      <c r="D699" t="s">
        <v>770</v>
      </c>
      <c r="E699" t="s">
        <v>764</v>
      </c>
      <c r="F699" s="4">
        <v>70000</v>
      </c>
      <c r="G699" s="4">
        <v>105000</v>
      </c>
      <c r="H699" s="4">
        <f t="shared" si="10"/>
        <v>87500</v>
      </c>
      <c r="I699">
        <v>0</v>
      </c>
      <c r="J699">
        <v>0</v>
      </c>
      <c r="K699">
        <v>0</v>
      </c>
      <c r="L699">
        <v>0</v>
      </c>
      <c r="M699">
        <v>1</v>
      </c>
    </row>
    <row r="700" spans="1:13" x14ac:dyDescent="0.25">
      <c r="A700" t="s">
        <v>804</v>
      </c>
      <c r="B700" s="5">
        <v>4.0999999999999996</v>
      </c>
      <c r="C700" t="s">
        <v>805</v>
      </c>
      <c r="D700" t="s">
        <v>770</v>
      </c>
      <c r="E700" t="s">
        <v>764</v>
      </c>
      <c r="F700" s="4">
        <v>69000</v>
      </c>
      <c r="G700" s="4">
        <v>99000</v>
      </c>
      <c r="H700" s="4">
        <f t="shared" si="10"/>
        <v>84000</v>
      </c>
      <c r="I700">
        <v>0</v>
      </c>
      <c r="J700">
        <v>0</v>
      </c>
      <c r="K700">
        <v>0</v>
      </c>
      <c r="L700">
        <v>0</v>
      </c>
      <c r="M700">
        <v>1</v>
      </c>
    </row>
    <row r="701" spans="1:13" x14ac:dyDescent="0.25">
      <c r="A701" t="s">
        <v>0</v>
      </c>
      <c r="B701" s="5">
        <v>3.6</v>
      </c>
      <c r="C701" t="s">
        <v>806</v>
      </c>
      <c r="D701" t="s">
        <v>629</v>
      </c>
      <c r="E701" t="s">
        <v>764</v>
      </c>
      <c r="F701" s="4">
        <v>59000</v>
      </c>
      <c r="G701" s="4">
        <v>82000</v>
      </c>
      <c r="H701" s="4">
        <f t="shared" si="10"/>
        <v>70500</v>
      </c>
      <c r="I701">
        <v>0</v>
      </c>
      <c r="J701">
        <v>0</v>
      </c>
      <c r="K701">
        <v>0</v>
      </c>
      <c r="L701">
        <v>0</v>
      </c>
      <c r="M701">
        <v>1</v>
      </c>
    </row>
    <row r="702" spans="1:13" x14ac:dyDescent="0.25">
      <c r="A702" t="s">
        <v>807</v>
      </c>
      <c r="B702" s="5">
        <v>4.2</v>
      </c>
      <c r="C702" t="s">
        <v>808</v>
      </c>
      <c r="D702" t="s">
        <v>809</v>
      </c>
      <c r="E702" t="s">
        <v>764</v>
      </c>
      <c r="F702" s="4">
        <v>57000</v>
      </c>
      <c r="G702" s="4">
        <v>70000</v>
      </c>
      <c r="H702" s="4">
        <f t="shared" si="10"/>
        <v>63500</v>
      </c>
      <c r="I702">
        <v>0</v>
      </c>
      <c r="J702">
        <v>0</v>
      </c>
      <c r="K702">
        <v>0</v>
      </c>
      <c r="L702">
        <v>0</v>
      </c>
      <c r="M702">
        <v>1</v>
      </c>
    </row>
    <row r="703" spans="1:13" x14ac:dyDescent="0.25">
      <c r="A703" t="s">
        <v>810</v>
      </c>
      <c r="B703" s="5">
        <v>3.9</v>
      </c>
      <c r="C703" t="s">
        <v>811</v>
      </c>
      <c r="D703" t="s">
        <v>763</v>
      </c>
      <c r="E703" t="s">
        <v>812</v>
      </c>
      <c r="F703" s="4">
        <v>76000</v>
      </c>
      <c r="G703" s="4">
        <v>107000</v>
      </c>
      <c r="H703" s="4">
        <f t="shared" si="10"/>
        <v>91500</v>
      </c>
      <c r="I703">
        <v>0</v>
      </c>
      <c r="J703">
        <v>0</v>
      </c>
      <c r="K703">
        <v>0</v>
      </c>
      <c r="L703">
        <v>0</v>
      </c>
      <c r="M703">
        <v>1</v>
      </c>
    </row>
    <row r="704" spans="1:13" x14ac:dyDescent="0.25">
      <c r="A704" t="s">
        <v>810</v>
      </c>
      <c r="B704" s="5">
        <v>3.9</v>
      </c>
      <c r="C704" t="s">
        <v>811</v>
      </c>
      <c r="D704" t="s">
        <v>763</v>
      </c>
      <c r="E704" t="s">
        <v>812</v>
      </c>
      <c r="F704" s="4">
        <v>76000</v>
      </c>
      <c r="G704" s="4">
        <v>107000</v>
      </c>
      <c r="H704" s="4">
        <f t="shared" si="10"/>
        <v>91500</v>
      </c>
      <c r="I704">
        <v>0</v>
      </c>
      <c r="J704">
        <v>0</v>
      </c>
      <c r="K704">
        <v>0</v>
      </c>
      <c r="L704">
        <v>0</v>
      </c>
      <c r="M704">
        <v>1</v>
      </c>
    </row>
    <row r="705" spans="1:13" x14ac:dyDescent="0.25">
      <c r="A705" t="s">
        <v>810</v>
      </c>
      <c r="B705" s="5">
        <v>3.9</v>
      </c>
      <c r="C705" t="s">
        <v>811</v>
      </c>
      <c r="D705" t="s">
        <v>763</v>
      </c>
      <c r="E705" t="s">
        <v>812</v>
      </c>
      <c r="F705" s="4">
        <v>76000</v>
      </c>
      <c r="G705" s="4">
        <v>107000</v>
      </c>
      <c r="H705" s="4">
        <f t="shared" si="10"/>
        <v>91500</v>
      </c>
      <c r="I705">
        <v>0</v>
      </c>
      <c r="J705">
        <v>0</v>
      </c>
      <c r="K705">
        <v>0</v>
      </c>
      <c r="L705">
        <v>0</v>
      </c>
      <c r="M705">
        <v>1</v>
      </c>
    </row>
    <row r="706" spans="1:13" x14ac:dyDescent="0.25">
      <c r="A706" t="s">
        <v>810</v>
      </c>
      <c r="B706" s="5">
        <v>3.9</v>
      </c>
      <c r="C706" t="s">
        <v>811</v>
      </c>
      <c r="D706" t="s">
        <v>763</v>
      </c>
      <c r="E706" t="s">
        <v>812</v>
      </c>
      <c r="F706" s="4">
        <v>76000</v>
      </c>
      <c r="G706" s="4">
        <v>107000</v>
      </c>
      <c r="H706" s="4">
        <f t="shared" si="10"/>
        <v>91500</v>
      </c>
      <c r="I706">
        <v>0</v>
      </c>
      <c r="J706">
        <v>0</v>
      </c>
      <c r="K706">
        <v>0</v>
      </c>
      <c r="L706">
        <v>0</v>
      </c>
      <c r="M706">
        <v>1</v>
      </c>
    </row>
    <row r="707" spans="1:13" x14ac:dyDescent="0.25">
      <c r="A707" t="s">
        <v>810</v>
      </c>
      <c r="B707" s="5">
        <v>3.9</v>
      </c>
      <c r="C707" t="s">
        <v>811</v>
      </c>
      <c r="D707" t="s">
        <v>763</v>
      </c>
      <c r="E707" t="s">
        <v>812</v>
      </c>
      <c r="F707" s="4">
        <v>76000</v>
      </c>
      <c r="G707" s="4">
        <v>107000</v>
      </c>
      <c r="H707" s="4">
        <f t="shared" ref="H707:H770" si="11">(F707+G707)/2</f>
        <v>91500</v>
      </c>
      <c r="I707">
        <v>0</v>
      </c>
      <c r="J707">
        <v>0</v>
      </c>
      <c r="K707">
        <v>0</v>
      </c>
      <c r="L707">
        <v>0</v>
      </c>
      <c r="M707">
        <v>1</v>
      </c>
    </row>
    <row r="708" spans="1:13" x14ac:dyDescent="0.25">
      <c r="A708" t="s">
        <v>810</v>
      </c>
      <c r="B708" s="5">
        <v>3.9</v>
      </c>
      <c r="C708" t="s">
        <v>811</v>
      </c>
      <c r="D708" t="s">
        <v>763</v>
      </c>
      <c r="E708" t="s">
        <v>812</v>
      </c>
      <c r="F708" s="4">
        <v>76000</v>
      </c>
      <c r="G708" s="4">
        <v>107000</v>
      </c>
      <c r="H708" s="4">
        <f t="shared" si="11"/>
        <v>91500</v>
      </c>
      <c r="I708">
        <v>0</v>
      </c>
      <c r="J708">
        <v>0</v>
      </c>
      <c r="K708">
        <v>0</v>
      </c>
      <c r="L708">
        <v>0</v>
      </c>
      <c r="M708">
        <v>1</v>
      </c>
    </row>
    <row r="709" spans="1:13" x14ac:dyDescent="0.25">
      <c r="A709" t="s">
        <v>810</v>
      </c>
      <c r="B709" s="5">
        <v>3.9</v>
      </c>
      <c r="C709" t="s">
        <v>811</v>
      </c>
      <c r="D709" t="s">
        <v>763</v>
      </c>
      <c r="E709" t="s">
        <v>812</v>
      </c>
      <c r="F709" s="4">
        <v>76000</v>
      </c>
      <c r="G709" s="4">
        <v>107000</v>
      </c>
      <c r="H709" s="4">
        <f t="shared" si="11"/>
        <v>91500</v>
      </c>
      <c r="I709">
        <v>0</v>
      </c>
      <c r="J709">
        <v>0</v>
      </c>
      <c r="K709">
        <v>0</v>
      </c>
      <c r="L709">
        <v>0</v>
      </c>
      <c r="M709">
        <v>1</v>
      </c>
    </row>
    <row r="710" spans="1:13" x14ac:dyDescent="0.25">
      <c r="A710" t="s">
        <v>810</v>
      </c>
      <c r="B710" s="5">
        <v>3.9</v>
      </c>
      <c r="C710" t="s">
        <v>811</v>
      </c>
      <c r="D710" t="s">
        <v>763</v>
      </c>
      <c r="E710" t="s">
        <v>812</v>
      </c>
      <c r="F710" s="4">
        <v>76000</v>
      </c>
      <c r="G710" s="4">
        <v>107000</v>
      </c>
      <c r="H710" s="4">
        <f t="shared" si="11"/>
        <v>91500</v>
      </c>
      <c r="I710">
        <v>0</v>
      </c>
      <c r="J710">
        <v>0</v>
      </c>
      <c r="K710">
        <v>0</v>
      </c>
      <c r="L710">
        <v>0</v>
      </c>
      <c r="M710">
        <v>1</v>
      </c>
    </row>
    <row r="711" spans="1:13" x14ac:dyDescent="0.25">
      <c r="A711" t="s">
        <v>810</v>
      </c>
      <c r="B711" s="5">
        <v>3.9</v>
      </c>
      <c r="C711" t="s">
        <v>811</v>
      </c>
      <c r="D711" t="s">
        <v>763</v>
      </c>
      <c r="E711" t="s">
        <v>812</v>
      </c>
      <c r="F711" s="4">
        <v>76000</v>
      </c>
      <c r="G711" s="4">
        <v>107000</v>
      </c>
      <c r="H711" s="4">
        <f t="shared" si="11"/>
        <v>91500</v>
      </c>
      <c r="I711">
        <v>0</v>
      </c>
      <c r="J711">
        <v>0</v>
      </c>
      <c r="K711">
        <v>0</v>
      </c>
      <c r="L711">
        <v>0</v>
      </c>
      <c r="M711">
        <v>1</v>
      </c>
    </row>
    <row r="712" spans="1:13" x14ac:dyDescent="0.25">
      <c r="A712" t="s">
        <v>810</v>
      </c>
      <c r="B712" s="5">
        <v>3.9</v>
      </c>
      <c r="C712" t="s">
        <v>811</v>
      </c>
      <c r="D712" t="s">
        <v>763</v>
      </c>
      <c r="E712" t="s">
        <v>812</v>
      </c>
      <c r="F712" s="4">
        <v>76000</v>
      </c>
      <c r="G712" s="4">
        <v>107000</v>
      </c>
      <c r="H712" s="4">
        <f t="shared" si="11"/>
        <v>91500</v>
      </c>
      <c r="I712">
        <v>0</v>
      </c>
      <c r="J712">
        <v>0</v>
      </c>
      <c r="K712">
        <v>0</v>
      </c>
      <c r="L712">
        <v>0</v>
      </c>
      <c r="M712">
        <v>1</v>
      </c>
    </row>
    <row r="713" spans="1:13" x14ac:dyDescent="0.25">
      <c r="A713" t="s">
        <v>810</v>
      </c>
      <c r="B713" s="5">
        <v>3.9</v>
      </c>
      <c r="C713" t="s">
        <v>811</v>
      </c>
      <c r="D713" t="s">
        <v>763</v>
      </c>
      <c r="E713" t="s">
        <v>812</v>
      </c>
      <c r="F713" s="4">
        <v>76000</v>
      </c>
      <c r="G713" s="4">
        <v>107000</v>
      </c>
      <c r="H713" s="4">
        <f t="shared" si="11"/>
        <v>91500</v>
      </c>
      <c r="I713">
        <v>0</v>
      </c>
      <c r="J713">
        <v>0</v>
      </c>
      <c r="K713">
        <v>0</v>
      </c>
      <c r="L713">
        <v>0</v>
      </c>
      <c r="M713">
        <v>1</v>
      </c>
    </row>
    <row r="714" spans="1:13" x14ac:dyDescent="0.25">
      <c r="A714" t="s">
        <v>810</v>
      </c>
      <c r="B714" s="5">
        <v>3.9</v>
      </c>
      <c r="C714" t="s">
        <v>811</v>
      </c>
      <c r="D714" t="s">
        <v>763</v>
      </c>
      <c r="E714" t="s">
        <v>812</v>
      </c>
      <c r="F714" s="4">
        <v>76000</v>
      </c>
      <c r="G714" s="4">
        <v>107000</v>
      </c>
      <c r="H714" s="4">
        <f t="shared" si="11"/>
        <v>91500</v>
      </c>
      <c r="I714">
        <v>0</v>
      </c>
      <c r="J714">
        <v>0</v>
      </c>
      <c r="K714">
        <v>0</v>
      </c>
      <c r="L714">
        <v>0</v>
      </c>
      <c r="M714">
        <v>1</v>
      </c>
    </row>
    <row r="715" spans="1:13" x14ac:dyDescent="0.25">
      <c r="A715" t="s">
        <v>810</v>
      </c>
      <c r="B715" s="5">
        <v>3.9</v>
      </c>
      <c r="C715" t="s">
        <v>811</v>
      </c>
      <c r="D715" t="s">
        <v>763</v>
      </c>
      <c r="E715" t="s">
        <v>812</v>
      </c>
      <c r="F715" s="4">
        <v>76000</v>
      </c>
      <c r="G715" s="4">
        <v>107000</v>
      </c>
      <c r="H715" s="4">
        <f t="shared" si="11"/>
        <v>91500</v>
      </c>
      <c r="I715">
        <v>0</v>
      </c>
      <c r="J715">
        <v>0</v>
      </c>
      <c r="K715">
        <v>0</v>
      </c>
      <c r="L715">
        <v>0</v>
      </c>
      <c r="M715">
        <v>1</v>
      </c>
    </row>
    <row r="716" spans="1:13" x14ac:dyDescent="0.25">
      <c r="A716" t="s">
        <v>810</v>
      </c>
      <c r="B716" s="5">
        <v>3.9</v>
      </c>
      <c r="C716" t="s">
        <v>811</v>
      </c>
      <c r="D716" t="s">
        <v>763</v>
      </c>
      <c r="E716" t="s">
        <v>812</v>
      </c>
      <c r="F716" s="4">
        <v>76000</v>
      </c>
      <c r="G716" s="4">
        <v>107000</v>
      </c>
      <c r="H716" s="4">
        <f t="shared" si="11"/>
        <v>91500</v>
      </c>
      <c r="I716">
        <v>0</v>
      </c>
      <c r="J716">
        <v>0</v>
      </c>
      <c r="K716">
        <v>0</v>
      </c>
      <c r="L716">
        <v>0</v>
      </c>
      <c r="M716">
        <v>1</v>
      </c>
    </row>
    <row r="717" spans="1:13" x14ac:dyDescent="0.25">
      <c r="A717" t="s">
        <v>810</v>
      </c>
      <c r="B717" s="5">
        <v>3.9</v>
      </c>
      <c r="C717" t="s">
        <v>811</v>
      </c>
      <c r="D717" t="s">
        <v>763</v>
      </c>
      <c r="E717" t="s">
        <v>812</v>
      </c>
      <c r="F717" s="4">
        <v>76000</v>
      </c>
      <c r="G717" s="4">
        <v>107000</v>
      </c>
      <c r="H717" s="4">
        <f t="shared" si="11"/>
        <v>91500</v>
      </c>
      <c r="I717">
        <v>0</v>
      </c>
      <c r="J717">
        <v>0</v>
      </c>
      <c r="K717">
        <v>0</v>
      </c>
      <c r="L717">
        <v>0</v>
      </c>
      <c r="M717">
        <v>1</v>
      </c>
    </row>
    <row r="718" spans="1:13" x14ac:dyDescent="0.25">
      <c r="A718" t="s">
        <v>810</v>
      </c>
      <c r="B718" s="5">
        <v>3.9</v>
      </c>
      <c r="C718" t="s">
        <v>811</v>
      </c>
      <c r="D718" t="s">
        <v>763</v>
      </c>
      <c r="E718" t="s">
        <v>812</v>
      </c>
      <c r="F718" s="4">
        <v>76000</v>
      </c>
      <c r="G718" s="4">
        <v>107000</v>
      </c>
      <c r="H718" s="4">
        <f t="shared" si="11"/>
        <v>91500</v>
      </c>
      <c r="I718">
        <v>0</v>
      </c>
      <c r="J718">
        <v>0</v>
      </c>
      <c r="K718">
        <v>0</v>
      </c>
      <c r="L718">
        <v>0</v>
      </c>
      <c r="M718">
        <v>1</v>
      </c>
    </row>
    <row r="719" spans="1:13" x14ac:dyDescent="0.25">
      <c r="A719" t="s">
        <v>810</v>
      </c>
      <c r="B719" s="5">
        <v>3.9</v>
      </c>
      <c r="C719" t="s">
        <v>811</v>
      </c>
      <c r="D719" t="s">
        <v>763</v>
      </c>
      <c r="E719" t="s">
        <v>812</v>
      </c>
      <c r="F719" s="4">
        <v>76000</v>
      </c>
      <c r="G719" s="4">
        <v>107000</v>
      </c>
      <c r="H719" s="4">
        <f t="shared" si="11"/>
        <v>91500</v>
      </c>
      <c r="I719">
        <v>0</v>
      </c>
      <c r="J719">
        <v>0</v>
      </c>
      <c r="K719">
        <v>0</v>
      </c>
      <c r="L719">
        <v>0</v>
      </c>
      <c r="M719">
        <v>1</v>
      </c>
    </row>
    <row r="720" spans="1:13" x14ac:dyDescent="0.25">
      <c r="A720" t="s">
        <v>810</v>
      </c>
      <c r="B720" s="5">
        <v>3.9</v>
      </c>
      <c r="C720" t="s">
        <v>811</v>
      </c>
      <c r="D720" t="s">
        <v>763</v>
      </c>
      <c r="E720" t="s">
        <v>812</v>
      </c>
      <c r="F720" s="4">
        <v>76000</v>
      </c>
      <c r="G720" s="4">
        <v>107000</v>
      </c>
      <c r="H720" s="4">
        <f t="shared" si="11"/>
        <v>91500</v>
      </c>
      <c r="I720">
        <v>0</v>
      </c>
      <c r="J720">
        <v>0</v>
      </c>
      <c r="K720">
        <v>0</v>
      </c>
      <c r="L720">
        <v>0</v>
      </c>
      <c r="M720">
        <v>1</v>
      </c>
    </row>
    <row r="721" spans="1:13" x14ac:dyDescent="0.25">
      <c r="A721" t="s">
        <v>810</v>
      </c>
      <c r="B721" s="5">
        <v>3.9</v>
      </c>
      <c r="C721" t="s">
        <v>811</v>
      </c>
      <c r="D721" t="s">
        <v>763</v>
      </c>
      <c r="E721" t="s">
        <v>812</v>
      </c>
      <c r="F721" s="4">
        <v>76000</v>
      </c>
      <c r="G721" s="4">
        <v>107000</v>
      </c>
      <c r="H721" s="4">
        <f t="shared" si="11"/>
        <v>91500</v>
      </c>
      <c r="I721">
        <v>0</v>
      </c>
      <c r="J721">
        <v>0</v>
      </c>
      <c r="K721">
        <v>0</v>
      </c>
      <c r="L721">
        <v>0</v>
      </c>
      <c r="M721">
        <v>1</v>
      </c>
    </row>
    <row r="722" spans="1:13" x14ac:dyDescent="0.25">
      <c r="A722" t="s">
        <v>810</v>
      </c>
      <c r="B722" s="5">
        <v>3.9</v>
      </c>
      <c r="C722" t="s">
        <v>811</v>
      </c>
      <c r="D722" t="s">
        <v>763</v>
      </c>
      <c r="E722" t="s">
        <v>812</v>
      </c>
      <c r="F722" s="4">
        <v>76000</v>
      </c>
      <c r="G722" s="4">
        <v>107000</v>
      </c>
      <c r="H722" s="4">
        <f t="shared" si="11"/>
        <v>91500</v>
      </c>
      <c r="I722">
        <v>0</v>
      </c>
      <c r="J722">
        <v>0</v>
      </c>
      <c r="K722">
        <v>0</v>
      </c>
      <c r="L722">
        <v>0</v>
      </c>
      <c r="M722">
        <v>1</v>
      </c>
    </row>
    <row r="723" spans="1:13" x14ac:dyDescent="0.25">
      <c r="A723" t="s">
        <v>813</v>
      </c>
      <c r="B723" s="5">
        <v>3.7</v>
      </c>
      <c r="C723" t="s">
        <v>814</v>
      </c>
      <c r="D723" t="s">
        <v>815</v>
      </c>
      <c r="E723" t="s">
        <v>812</v>
      </c>
      <c r="F723" s="4">
        <v>77000</v>
      </c>
      <c r="G723" s="4">
        <v>127000</v>
      </c>
      <c r="H723" s="4">
        <f t="shared" si="11"/>
        <v>102000</v>
      </c>
      <c r="I723">
        <v>0</v>
      </c>
      <c r="J723">
        <v>0</v>
      </c>
      <c r="K723">
        <v>0</v>
      </c>
      <c r="L723">
        <v>0</v>
      </c>
      <c r="M723">
        <v>1</v>
      </c>
    </row>
    <row r="724" spans="1:13" x14ac:dyDescent="0.25">
      <c r="A724" t="s">
        <v>816</v>
      </c>
      <c r="B724" s="5">
        <v>3.9</v>
      </c>
      <c r="C724" t="s">
        <v>280</v>
      </c>
      <c r="D724" t="s">
        <v>817</v>
      </c>
      <c r="E724" t="s">
        <v>812</v>
      </c>
      <c r="F724" s="4">
        <v>96000</v>
      </c>
      <c r="G724" s="4">
        <v>130000</v>
      </c>
      <c r="H724" s="4">
        <f t="shared" si="11"/>
        <v>113000</v>
      </c>
      <c r="I724">
        <v>0</v>
      </c>
      <c r="J724">
        <v>0</v>
      </c>
      <c r="K724">
        <v>0</v>
      </c>
      <c r="L724">
        <v>0</v>
      </c>
      <c r="M724">
        <v>1</v>
      </c>
    </row>
    <row r="725" spans="1:13" x14ac:dyDescent="0.25">
      <c r="A725" t="s">
        <v>0</v>
      </c>
      <c r="B725" s="5">
        <v>4</v>
      </c>
      <c r="C725" t="s">
        <v>727</v>
      </c>
      <c r="D725" t="s">
        <v>817</v>
      </c>
      <c r="E725" t="s">
        <v>812</v>
      </c>
      <c r="F725" s="4">
        <v>92000</v>
      </c>
      <c r="G725" s="4">
        <v>128000</v>
      </c>
      <c r="H725" s="4">
        <f t="shared" si="11"/>
        <v>110000</v>
      </c>
      <c r="I725">
        <v>1</v>
      </c>
      <c r="J725">
        <v>1</v>
      </c>
      <c r="K725">
        <v>0</v>
      </c>
      <c r="L725">
        <v>0</v>
      </c>
      <c r="M725">
        <v>1</v>
      </c>
    </row>
    <row r="726" spans="1:13" x14ac:dyDescent="0.25">
      <c r="A726" t="s">
        <v>818</v>
      </c>
      <c r="B726" s="5">
        <v>3.8</v>
      </c>
      <c r="C726" t="s">
        <v>819</v>
      </c>
      <c r="D726" t="s">
        <v>817</v>
      </c>
      <c r="E726" t="s">
        <v>812</v>
      </c>
      <c r="F726" s="4">
        <v>80000</v>
      </c>
      <c r="G726" s="4">
        <v>122000</v>
      </c>
      <c r="H726" s="4">
        <f t="shared" si="11"/>
        <v>101000</v>
      </c>
      <c r="I726">
        <v>0</v>
      </c>
      <c r="J726">
        <v>0</v>
      </c>
      <c r="K726">
        <v>0</v>
      </c>
      <c r="L726">
        <v>0</v>
      </c>
      <c r="M726">
        <v>1</v>
      </c>
    </row>
    <row r="727" spans="1:13" x14ac:dyDescent="0.25">
      <c r="A727" t="s">
        <v>266</v>
      </c>
      <c r="B727" s="5">
        <v>3.8</v>
      </c>
      <c r="C727" t="s">
        <v>820</v>
      </c>
      <c r="D727" t="s">
        <v>821</v>
      </c>
      <c r="E727" t="s">
        <v>812</v>
      </c>
      <c r="F727" s="4">
        <v>79000</v>
      </c>
      <c r="G727" s="4">
        <v>115000</v>
      </c>
      <c r="H727" s="4">
        <f t="shared" si="11"/>
        <v>97000</v>
      </c>
      <c r="I727">
        <v>0</v>
      </c>
      <c r="J727">
        <v>0</v>
      </c>
      <c r="K727">
        <v>0</v>
      </c>
      <c r="L727">
        <v>0</v>
      </c>
      <c r="M727">
        <v>1</v>
      </c>
    </row>
    <row r="728" spans="1:13" x14ac:dyDescent="0.25">
      <c r="A728" t="s">
        <v>408</v>
      </c>
      <c r="B728" s="5">
        <v>3.9</v>
      </c>
      <c r="C728" t="s">
        <v>822</v>
      </c>
      <c r="D728" t="s">
        <v>821</v>
      </c>
      <c r="E728" t="s">
        <v>812</v>
      </c>
      <c r="F728" s="4">
        <v>75000</v>
      </c>
      <c r="G728" s="4">
        <v>175000</v>
      </c>
      <c r="H728" s="4">
        <f t="shared" si="11"/>
        <v>125000</v>
      </c>
      <c r="I728">
        <v>0</v>
      </c>
      <c r="J728">
        <v>0</v>
      </c>
      <c r="K728">
        <v>0</v>
      </c>
      <c r="L728">
        <v>0</v>
      </c>
      <c r="M728">
        <v>1</v>
      </c>
    </row>
    <row r="729" spans="1:13" x14ac:dyDescent="0.25">
      <c r="A729" t="s">
        <v>408</v>
      </c>
      <c r="B729" s="5">
        <v>3.9</v>
      </c>
      <c r="C729" t="s">
        <v>822</v>
      </c>
      <c r="D729" t="s">
        <v>821</v>
      </c>
      <c r="E729" t="s">
        <v>812</v>
      </c>
      <c r="F729" s="4">
        <v>75000</v>
      </c>
      <c r="G729" s="4">
        <v>175000</v>
      </c>
      <c r="H729" s="4">
        <f t="shared" si="11"/>
        <v>125000</v>
      </c>
      <c r="I729">
        <v>0</v>
      </c>
      <c r="J729">
        <v>0</v>
      </c>
      <c r="K729">
        <v>0</v>
      </c>
      <c r="L729">
        <v>0</v>
      </c>
      <c r="M729">
        <v>1</v>
      </c>
    </row>
    <row r="730" spans="1:13" x14ac:dyDescent="0.25">
      <c r="A730" t="s">
        <v>408</v>
      </c>
      <c r="B730" s="5">
        <v>3.9</v>
      </c>
      <c r="C730" t="s">
        <v>822</v>
      </c>
      <c r="D730" t="s">
        <v>821</v>
      </c>
      <c r="E730" t="s">
        <v>812</v>
      </c>
      <c r="F730" s="4">
        <v>75000</v>
      </c>
      <c r="G730" s="4">
        <v>175000</v>
      </c>
      <c r="H730" s="4">
        <f t="shared" si="11"/>
        <v>125000</v>
      </c>
      <c r="I730">
        <v>0</v>
      </c>
      <c r="J730">
        <v>0</v>
      </c>
      <c r="K730">
        <v>0</v>
      </c>
      <c r="L730">
        <v>0</v>
      </c>
      <c r="M730">
        <v>1</v>
      </c>
    </row>
    <row r="731" spans="1:13" x14ac:dyDescent="0.25">
      <c r="A731" t="s">
        <v>408</v>
      </c>
      <c r="B731" s="5">
        <v>3.9</v>
      </c>
      <c r="C731" t="s">
        <v>822</v>
      </c>
      <c r="D731" t="s">
        <v>821</v>
      </c>
      <c r="E731" t="s">
        <v>812</v>
      </c>
      <c r="F731" s="4">
        <v>75000</v>
      </c>
      <c r="G731" s="4">
        <v>175000</v>
      </c>
      <c r="H731" s="4">
        <f t="shared" si="11"/>
        <v>125000</v>
      </c>
      <c r="I731">
        <v>0</v>
      </c>
      <c r="J731">
        <v>0</v>
      </c>
      <c r="K731">
        <v>0</v>
      </c>
      <c r="L731">
        <v>0</v>
      </c>
      <c r="M731">
        <v>1</v>
      </c>
    </row>
    <row r="732" spans="1:13" x14ac:dyDescent="0.25">
      <c r="A732" t="s">
        <v>408</v>
      </c>
      <c r="B732" s="5">
        <v>3.9</v>
      </c>
      <c r="C732" t="s">
        <v>822</v>
      </c>
      <c r="D732" t="s">
        <v>821</v>
      </c>
      <c r="E732" t="s">
        <v>812</v>
      </c>
      <c r="F732" s="4">
        <v>75000</v>
      </c>
      <c r="G732" s="4">
        <v>175000</v>
      </c>
      <c r="H732" s="4">
        <f t="shared" si="11"/>
        <v>125000</v>
      </c>
      <c r="I732">
        <v>0</v>
      </c>
      <c r="J732">
        <v>0</v>
      </c>
      <c r="K732">
        <v>0</v>
      </c>
      <c r="L732">
        <v>0</v>
      </c>
      <c r="M732">
        <v>1</v>
      </c>
    </row>
    <row r="733" spans="1:13" x14ac:dyDescent="0.25">
      <c r="A733" t="s">
        <v>408</v>
      </c>
      <c r="B733" s="5">
        <v>3.9</v>
      </c>
      <c r="C733" t="s">
        <v>822</v>
      </c>
      <c r="D733" t="s">
        <v>821</v>
      </c>
      <c r="E733" t="s">
        <v>812</v>
      </c>
      <c r="F733" s="4">
        <v>75000</v>
      </c>
      <c r="G733" s="4">
        <v>175000</v>
      </c>
      <c r="H733" s="4">
        <f t="shared" si="11"/>
        <v>125000</v>
      </c>
      <c r="I733">
        <v>0</v>
      </c>
      <c r="J733">
        <v>0</v>
      </c>
      <c r="K733">
        <v>0</v>
      </c>
      <c r="L733">
        <v>0</v>
      </c>
      <c r="M733">
        <v>1</v>
      </c>
    </row>
    <row r="734" spans="1:13" x14ac:dyDescent="0.25">
      <c r="A734" t="s">
        <v>408</v>
      </c>
      <c r="B734" s="5">
        <v>3.9</v>
      </c>
      <c r="C734" t="s">
        <v>822</v>
      </c>
      <c r="D734" t="s">
        <v>821</v>
      </c>
      <c r="E734" t="s">
        <v>812</v>
      </c>
      <c r="F734" s="4">
        <v>75000</v>
      </c>
      <c r="G734" s="4">
        <v>175000</v>
      </c>
      <c r="H734" s="4">
        <f t="shared" si="11"/>
        <v>125000</v>
      </c>
      <c r="I734">
        <v>0</v>
      </c>
      <c r="J734">
        <v>0</v>
      </c>
      <c r="K734">
        <v>0</v>
      </c>
      <c r="L734">
        <v>0</v>
      </c>
      <c r="M734">
        <v>1</v>
      </c>
    </row>
    <row r="735" spans="1:13" x14ac:dyDescent="0.25">
      <c r="A735" t="s">
        <v>408</v>
      </c>
      <c r="B735" s="5">
        <v>3.9</v>
      </c>
      <c r="C735" t="s">
        <v>822</v>
      </c>
      <c r="D735" t="s">
        <v>821</v>
      </c>
      <c r="E735" t="s">
        <v>812</v>
      </c>
      <c r="F735" s="4">
        <v>75000</v>
      </c>
      <c r="G735" s="4">
        <v>175000</v>
      </c>
      <c r="H735" s="4">
        <f t="shared" si="11"/>
        <v>125000</v>
      </c>
      <c r="I735">
        <v>0</v>
      </c>
      <c r="J735">
        <v>0</v>
      </c>
      <c r="K735">
        <v>0</v>
      </c>
      <c r="L735">
        <v>0</v>
      </c>
      <c r="M735">
        <v>1</v>
      </c>
    </row>
    <row r="736" spans="1:13" x14ac:dyDescent="0.25">
      <c r="A736" t="s">
        <v>408</v>
      </c>
      <c r="B736" s="5">
        <v>3.9</v>
      </c>
      <c r="C736" t="s">
        <v>822</v>
      </c>
      <c r="D736" t="s">
        <v>821</v>
      </c>
      <c r="E736" t="s">
        <v>812</v>
      </c>
      <c r="F736" s="4">
        <v>75000</v>
      </c>
      <c r="G736" s="4">
        <v>175000</v>
      </c>
      <c r="H736" s="4">
        <f t="shared" si="11"/>
        <v>125000</v>
      </c>
      <c r="I736">
        <v>0</v>
      </c>
      <c r="J736">
        <v>0</v>
      </c>
      <c r="K736">
        <v>0</v>
      </c>
      <c r="L736">
        <v>0</v>
      </c>
      <c r="M736">
        <v>1</v>
      </c>
    </row>
    <row r="737" spans="1:13" x14ac:dyDescent="0.25">
      <c r="A737" t="s">
        <v>408</v>
      </c>
      <c r="B737" s="5">
        <v>3.9</v>
      </c>
      <c r="C737" t="s">
        <v>822</v>
      </c>
      <c r="D737" t="s">
        <v>821</v>
      </c>
      <c r="E737" t="s">
        <v>812</v>
      </c>
      <c r="F737" s="4">
        <v>75000</v>
      </c>
      <c r="G737" s="4">
        <v>175000</v>
      </c>
      <c r="H737" s="4">
        <f t="shared" si="11"/>
        <v>125000</v>
      </c>
      <c r="I737">
        <v>0</v>
      </c>
      <c r="J737">
        <v>0</v>
      </c>
      <c r="K737">
        <v>0</v>
      </c>
      <c r="L737">
        <v>0</v>
      </c>
      <c r="M737">
        <v>1</v>
      </c>
    </row>
    <row r="738" spans="1:13" x14ac:dyDescent="0.25">
      <c r="A738" t="s">
        <v>408</v>
      </c>
      <c r="B738" s="5">
        <v>3.9</v>
      </c>
      <c r="C738" t="s">
        <v>822</v>
      </c>
      <c r="D738" t="s">
        <v>821</v>
      </c>
      <c r="E738" t="s">
        <v>812</v>
      </c>
      <c r="F738" s="4">
        <v>75000</v>
      </c>
      <c r="G738" s="4">
        <v>175000</v>
      </c>
      <c r="H738" s="4">
        <f t="shared" si="11"/>
        <v>125000</v>
      </c>
      <c r="I738">
        <v>0</v>
      </c>
      <c r="J738">
        <v>0</v>
      </c>
      <c r="K738">
        <v>0</v>
      </c>
      <c r="L738">
        <v>0</v>
      </c>
      <c r="M738">
        <v>1</v>
      </c>
    </row>
    <row r="739" spans="1:13" x14ac:dyDescent="0.25">
      <c r="A739" t="s">
        <v>408</v>
      </c>
      <c r="B739" s="5">
        <v>3.9</v>
      </c>
      <c r="C739" t="s">
        <v>822</v>
      </c>
      <c r="D739" t="s">
        <v>821</v>
      </c>
      <c r="E739" t="s">
        <v>812</v>
      </c>
      <c r="F739" s="4">
        <v>75000</v>
      </c>
      <c r="G739" s="4">
        <v>175000</v>
      </c>
      <c r="H739" s="4">
        <f t="shared" si="11"/>
        <v>125000</v>
      </c>
      <c r="I739">
        <v>0</v>
      </c>
      <c r="J739">
        <v>0</v>
      </c>
      <c r="K739">
        <v>0</v>
      </c>
      <c r="L739">
        <v>0</v>
      </c>
      <c r="M739">
        <v>1</v>
      </c>
    </row>
    <row r="740" spans="1:13" x14ac:dyDescent="0.25">
      <c r="A740" t="s">
        <v>408</v>
      </c>
      <c r="B740" s="5">
        <v>3.9</v>
      </c>
      <c r="C740" t="s">
        <v>822</v>
      </c>
      <c r="D740" t="s">
        <v>821</v>
      </c>
      <c r="E740" t="s">
        <v>812</v>
      </c>
      <c r="F740" s="4">
        <v>75000</v>
      </c>
      <c r="G740" s="4">
        <v>175000</v>
      </c>
      <c r="H740" s="4">
        <f t="shared" si="11"/>
        <v>125000</v>
      </c>
      <c r="I740">
        <v>0</v>
      </c>
      <c r="J740">
        <v>0</v>
      </c>
      <c r="K740">
        <v>0</v>
      </c>
      <c r="L740">
        <v>0</v>
      </c>
      <c r="M740">
        <v>1</v>
      </c>
    </row>
    <row r="741" spans="1:13" x14ac:dyDescent="0.25">
      <c r="A741" t="s">
        <v>408</v>
      </c>
      <c r="B741" s="5">
        <v>3.9</v>
      </c>
      <c r="C741" t="s">
        <v>822</v>
      </c>
      <c r="D741" t="s">
        <v>821</v>
      </c>
      <c r="E741" t="s">
        <v>812</v>
      </c>
      <c r="F741" s="4">
        <v>75000</v>
      </c>
      <c r="G741" s="4">
        <v>175000</v>
      </c>
      <c r="H741" s="4">
        <f t="shared" si="11"/>
        <v>125000</v>
      </c>
      <c r="I741">
        <v>0</v>
      </c>
      <c r="J741">
        <v>0</v>
      </c>
      <c r="K741">
        <v>0</v>
      </c>
      <c r="L741">
        <v>0</v>
      </c>
      <c r="M741">
        <v>1</v>
      </c>
    </row>
    <row r="742" spans="1:13" x14ac:dyDescent="0.25">
      <c r="A742" t="s">
        <v>408</v>
      </c>
      <c r="B742" s="5">
        <v>3.9</v>
      </c>
      <c r="C742" t="s">
        <v>822</v>
      </c>
      <c r="D742" t="s">
        <v>821</v>
      </c>
      <c r="E742" t="s">
        <v>812</v>
      </c>
      <c r="F742" s="4">
        <v>75000</v>
      </c>
      <c r="G742" s="4">
        <v>175000</v>
      </c>
      <c r="H742" s="4">
        <f t="shared" si="11"/>
        <v>125000</v>
      </c>
      <c r="I742">
        <v>0</v>
      </c>
      <c r="J742">
        <v>0</v>
      </c>
      <c r="K742">
        <v>0</v>
      </c>
      <c r="L742">
        <v>0</v>
      </c>
      <c r="M742">
        <v>1</v>
      </c>
    </row>
    <row r="743" spans="1:13" x14ac:dyDescent="0.25">
      <c r="A743" t="s">
        <v>408</v>
      </c>
      <c r="B743" s="5">
        <v>3.9</v>
      </c>
      <c r="C743" t="s">
        <v>822</v>
      </c>
      <c r="D743" t="s">
        <v>821</v>
      </c>
      <c r="E743" t="s">
        <v>812</v>
      </c>
      <c r="F743" s="4">
        <v>75000</v>
      </c>
      <c r="G743" s="4">
        <v>175000</v>
      </c>
      <c r="H743" s="4">
        <f t="shared" si="11"/>
        <v>125000</v>
      </c>
      <c r="I743">
        <v>0</v>
      </c>
      <c r="J743">
        <v>0</v>
      </c>
      <c r="K743">
        <v>0</v>
      </c>
      <c r="L743">
        <v>0</v>
      </c>
      <c r="M743">
        <v>1</v>
      </c>
    </row>
    <row r="744" spans="1:13" x14ac:dyDescent="0.25">
      <c r="A744" t="s">
        <v>408</v>
      </c>
      <c r="B744" s="5">
        <v>3.9</v>
      </c>
      <c r="C744" t="s">
        <v>822</v>
      </c>
      <c r="D744" t="s">
        <v>821</v>
      </c>
      <c r="E744" t="s">
        <v>812</v>
      </c>
      <c r="F744" s="4">
        <v>75000</v>
      </c>
      <c r="G744" s="4">
        <v>175000</v>
      </c>
      <c r="H744" s="4">
        <f t="shared" si="11"/>
        <v>125000</v>
      </c>
      <c r="I744">
        <v>0</v>
      </c>
      <c r="J744">
        <v>0</v>
      </c>
      <c r="K744">
        <v>0</v>
      </c>
      <c r="L744">
        <v>0</v>
      </c>
      <c r="M744">
        <v>1</v>
      </c>
    </row>
    <row r="745" spans="1:13" x14ac:dyDescent="0.25">
      <c r="A745" t="s">
        <v>408</v>
      </c>
      <c r="B745" s="5">
        <v>3.9</v>
      </c>
      <c r="C745" t="s">
        <v>822</v>
      </c>
      <c r="D745" t="s">
        <v>821</v>
      </c>
      <c r="E745" t="s">
        <v>812</v>
      </c>
      <c r="F745" s="4">
        <v>75000</v>
      </c>
      <c r="G745" s="4">
        <v>175000</v>
      </c>
      <c r="H745" s="4">
        <f t="shared" si="11"/>
        <v>125000</v>
      </c>
      <c r="I745">
        <v>0</v>
      </c>
      <c r="J745">
        <v>0</v>
      </c>
      <c r="K745">
        <v>0</v>
      </c>
      <c r="L745">
        <v>0</v>
      </c>
      <c r="M745">
        <v>1</v>
      </c>
    </row>
    <row r="746" spans="1:13" x14ac:dyDescent="0.25">
      <c r="A746" t="s">
        <v>408</v>
      </c>
      <c r="B746" s="5">
        <v>3.9</v>
      </c>
      <c r="C746" t="s">
        <v>822</v>
      </c>
      <c r="D746" t="s">
        <v>821</v>
      </c>
      <c r="E746" t="s">
        <v>812</v>
      </c>
      <c r="F746" s="4">
        <v>75000</v>
      </c>
      <c r="G746" s="4">
        <v>175000</v>
      </c>
      <c r="H746" s="4">
        <f t="shared" si="11"/>
        <v>125000</v>
      </c>
      <c r="I746">
        <v>0</v>
      </c>
      <c r="J746">
        <v>0</v>
      </c>
      <c r="K746">
        <v>0</v>
      </c>
      <c r="L746">
        <v>0</v>
      </c>
      <c r="M746">
        <v>1</v>
      </c>
    </row>
    <row r="747" spans="1:13" x14ac:dyDescent="0.25">
      <c r="A747" t="s">
        <v>823</v>
      </c>
      <c r="B747" s="5">
        <v>4.0999999999999996</v>
      </c>
      <c r="C747" t="s">
        <v>348</v>
      </c>
      <c r="D747" t="s">
        <v>824</v>
      </c>
      <c r="E747" t="s">
        <v>812</v>
      </c>
      <c r="F747" s="4">
        <v>85000</v>
      </c>
      <c r="G747" s="4">
        <v>115000</v>
      </c>
      <c r="H747" s="4">
        <f t="shared" si="11"/>
        <v>100000</v>
      </c>
      <c r="I747">
        <v>0</v>
      </c>
      <c r="J747">
        <v>0</v>
      </c>
      <c r="K747">
        <v>0</v>
      </c>
      <c r="L747">
        <v>0</v>
      </c>
      <c r="M747">
        <v>1</v>
      </c>
    </row>
    <row r="748" spans="1:13" x14ac:dyDescent="0.25">
      <c r="A748" t="s">
        <v>825</v>
      </c>
      <c r="B748" s="5">
        <v>4.0999999999999996</v>
      </c>
      <c r="C748" t="s">
        <v>348</v>
      </c>
      <c r="D748" t="s">
        <v>824</v>
      </c>
      <c r="E748" t="s">
        <v>812</v>
      </c>
      <c r="F748" s="4">
        <v>60320</v>
      </c>
      <c r="G748" s="4">
        <v>104000</v>
      </c>
      <c r="H748" s="4">
        <f t="shared" si="11"/>
        <v>82160</v>
      </c>
      <c r="I748">
        <v>0</v>
      </c>
      <c r="J748">
        <v>0</v>
      </c>
      <c r="K748">
        <v>0</v>
      </c>
      <c r="L748">
        <v>0</v>
      </c>
      <c r="M748">
        <v>1</v>
      </c>
    </row>
    <row r="749" spans="1:13" x14ac:dyDescent="0.25">
      <c r="A749" t="s">
        <v>0</v>
      </c>
      <c r="B749" s="5">
        <v>3.4</v>
      </c>
      <c r="C749" t="s">
        <v>826</v>
      </c>
      <c r="D749" t="s">
        <v>827</v>
      </c>
      <c r="E749" t="s">
        <v>812</v>
      </c>
      <c r="F749" s="4">
        <v>82000</v>
      </c>
      <c r="G749" s="4">
        <v>118000</v>
      </c>
      <c r="H749" s="4">
        <f t="shared" si="11"/>
        <v>100000</v>
      </c>
      <c r="I749">
        <v>0</v>
      </c>
      <c r="J749">
        <v>0</v>
      </c>
      <c r="K749">
        <v>0</v>
      </c>
      <c r="L749">
        <v>0</v>
      </c>
      <c r="M749">
        <v>1</v>
      </c>
    </row>
    <row r="750" spans="1:13" x14ac:dyDescent="0.25">
      <c r="A750" t="s">
        <v>30</v>
      </c>
      <c r="B750" s="5">
        <v>4.2</v>
      </c>
      <c r="C750" t="s">
        <v>828</v>
      </c>
      <c r="D750" t="s">
        <v>829</v>
      </c>
      <c r="E750" t="s">
        <v>830</v>
      </c>
      <c r="F750" s="4">
        <v>127000</v>
      </c>
      <c r="G750" s="4">
        <v>168000</v>
      </c>
      <c r="H750" s="4">
        <f t="shared" si="11"/>
        <v>147500</v>
      </c>
      <c r="I750">
        <v>0</v>
      </c>
      <c r="J750">
        <v>0</v>
      </c>
      <c r="K750">
        <v>0</v>
      </c>
      <c r="L750">
        <v>0</v>
      </c>
      <c r="M750">
        <v>1</v>
      </c>
    </row>
    <row r="751" spans="1:13" x14ac:dyDescent="0.25">
      <c r="A751" t="s">
        <v>831</v>
      </c>
      <c r="B751" s="5">
        <v>3.8</v>
      </c>
      <c r="C751" t="s">
        <v>832</v>
      </c>
      <c r="D751" t="s">
        <v>606</v>
      </c>
      <c r="E751" t="s">
        <v>830</v>
      </c>
      <c r="F751" s="4">
        <v>146000</v>
      </c>
      <c r="G751" s="4">
        <v>146000</v>
      </c>
      <c r="H751" s="4">
        <f t="shared" si="11"/>
        <v>146000</v>
      </c>
      <c r="I751">
        <v>0</v>
      </c>
      <c r="J751">
        <v>1</v>
      </c>
      <c r="K751">
        <v>0</v>
      </c>
      <c r="L751">
        <v>0</v>
      </c>
      <c r="M751">
        <v>1</v>
      </c>
    </row>
    <row r="752" spans="1:13" x14ac:dyDescent="0.25">
      <c r="A752" t="s">
        <v>833</v>
      </c>
      <c r="B752" s="5">
        <v>4.0999999999999996</v>
      </c>
      <c r="C752" t="s">
        <v>681</v>
      </c>
      <c r="D752" t="s">
        <v>834</v>
      </c>
      <c r="E752" t="s">
        <v>835</v>
      </c>
      <c r="F752" s="4">
        <v>69000</v>
      </c>
      <c r="G752" s="4">
        <v>110000</v>
      </c>
      <c r="H752" s="4">
        <f t="shared" si="11"/>
        <v>89500</v>
      </c>
      <c r="I752">
        <v>0</v>
      </c>
      <c r="J752">
        <v>0</v>
      </c>
      <c r="K752">
        <v>0</v>
      </c>
      <c r="L752">
        <v>0</v>
      </c>
      <c r="M752">
        <v>1</v>
      </c>
    </row>
    <row r="753" spans="1:13" x14ac:dyDescent="0.25">
      <c r="A753" t="s">
        <v>0</v>
      </c>
      <c r="B753" s="5">
        <v>3.8</v>
      </c>
      <c r="C753" t="s">
        <v>836</v>
      </c>
      <c r="D753" t="s">
        <v>837</v>
      </c>
      <c r="E753" t="s">
        <v>835</v>
      </c>
      <c r="F753" s="4">
        <v>91000</v>
      </c>
      <c r="G753" s="4">
        <v>129000</v>
      </c>
      <c r="H753" s="4">
        <f t="shared" si="11"/>
        <v>110000</v>
      </c>
      <c r="I753">
        <v>0</v>
      </c>
      <c r="J753">
        <v>0</v>
      </c>
      <c r="K753">
        <v>0</v>
      </c>
      <c r="L753">
        <v>0</v>
      </c>
      <c r="M753">
        <v>1</v>
      </c>
    </row>
    <row r="754" spans="1:13" x14ac:dyDescent="0.25">
      <c r="A754" t="s">
        <v>0</v>
      </c>
      <c r="B754" s="5">
        <v>3.8</v>
      </c>
      <c r="C754" t="s">
        <v>836</v>
      </c>
      <c r="D754" t="s">
        <v>837</v>
      </c>
      <c r="E754" t="s">
        <v>835</v>
      </c>
      <c r="F754" s="4">
        <v>91000</v>
      </c>
      <c r="G754" s="4">
        <v>129000</v>
      </c>
      <c r="H754" s="4">
        <f t="shared" si="11"/>
        <v>110000</v>
      </c>
      <c r="I754">
        <v>0</v>
      </c>
      <c r="J754">
        <v>0</v>
      </c>
      <c r="K754">
        <v>0</v>
      </c>
      <c r="L754">
        <v>0</v>
      </c>
      <c r="M754">
        <v>1</v>
      </c>
    </row>
    <row r="755" spans="1:13" x14ac:dyDescent="0.25">
      <c r="A755" t="s">
        <v>0</v>
      </c>
      <c r="B755" s="5">
        <v>3.8</v>
      </c>
      <c r="C755" t="s">
        <v>836</v>
      </c>
      <c r="D755" t="s">
        <v>837</v>
      </c>
      <c r="E755" t="s">
        <v>835</v>
      </c>
      <c r="F755" s="4">
        <v>91000</v>
      </c>
      <c r="G755" s="4">
        <v>129000</v>
      </c>
      <c r="H755" s="4">
        <f t="shared" si="11"/>
        <v>110000</v>
      </c>
      <c r="I755">
        <v>0</v>
      </c>
      <c r="J755">
        <v>0</v>
      </c>
      <c r="K755">
        <v>0</v>
      </c>
      <c r="L755">
        <v>0</v>
      </c>
      <c r="M755">
        <v>1</v>
      </c>
    </row>
    <row r="756" spans="1:13" x14ac:dyDescent="0.25">
      <c r="A756" t="s">
        <v>0</v>
      </c>
      <c r="B756" s="5">
        <v>3.8</v>
      </c>
      <c r="C756" t="s">
        <v>836</v>
      </c>
      <c r="D756" t="s">
        <v>837</v>
      </c>
      <c r="E756" t="s">
        <v>835</v>
      </c>
      <c r="F756" s="4">
        <v>91000</v>
      </c>
      <c r="G756" s="4">
        <v>129000</v>
      </c>
      <c r="H756" s="4">
        <f t="shared" si="11"/>
        <v>110000</v>
      </c>
      <c r="I756">
        <v>0</v>
      </c>
      <c r="J756">
        <v>0</v>
      </c>
      <c r="K756">
        <v>0</v>
      </c>
      <c r="L756">
        <v>0</v>
      </c>
      <c r="M756">
        <v>1</v>
      </c>
    </row>
    <row r="757" spans="1:13" x14ac:dyDescent="0.25">
      <c r="A757" t="s">
        <v>0</v>
      </c>
      <c r="B757" s="5">
        <v>3.8</v>
      </c>
      <c r="C757" t="s">
        <v>836</v>
      </c>
      <c r="D757" t="s">
        <v>837</v>
      </c>
      <c r="E757" t="s">
        <v>835</v>
      </c>
      <c r="F757" s="4">
        <v>91000</v>
      </c>
      <c r="G757" s="4">
        <v>129000</v>
      </c>
      <c r="H757" s="4">
        <f t="shared" si="11"/>
        <v>110000</v>
      </c>
      <c r="I757">
        <v>0</v>
      </c>
      <c r="J757">
        <v>0</v>
      </c>
      <c r="K757">
        <v>0</v>
      </c>
      <c r="L757">
        <v>0</v>
      </c>
      <c r="M757">
        <v>1</v>
      </c>
    </row>
    <row r="758" spans="1:13" x14ac:dyDescent="0.25">
      <c r="A758" t="s">
        <v>0</v>
      </c>
      <c r="B758" s="5">
        <v>3.8</v>
      </c>
      <c r="C758" t="s">
        <v>836</v>
      </c>
      <c r="D758" t="s">
        <v>837</v>
      </c>
      <c r="E758" t="s">
        <v>835</v>
      </c>
      <c r="F758" s="4">
        <v>91000</v>
      </c>
      <c r="G758" s="4">
        <v>129000</v>
      </c>
      <c r="H758" s="4">
        <f t="shared" si="11"/>
        <v>110000</v>
      </c>
      <c r="I758">
        <v>0</v>
      </c>
      <c r="J758">
        <v>0</v>
      </c>
      <c r="K758">
        <v>0</v>
      </c>
      <c r="L758">
        <v>0</v>
      </c>
      <c r="M758">
        <v>1</v>
      </c>
    </row>
    <row r="759" spans="1:13" x14ac:dyDescent="0.25">
      <c r="A759" t="s">
        <v>0</v>
      </c>
      <c r="B759" s="5">
        <v>3.8</v>
      </c>
      <c r="C759" t="s">
        <v>836</v>
      </c>
      <c r="D759" t="s">
        <v>837</v>
      </c>
      <c r="E759" t="s">
        <v>835</v>
      </c>
      <c r="F759" s="4">
        <v>91000</v>
      </c>
      <c r="G759" s="4">
        <v>129000</v>
      </c>
      <c r="H759" s="4">
        <f t="shared" si="11"/>
        <v>110000</v>
      </c>
      <c r="I759">
        <v>0</v>
      </c>
      <c r="J759">
        <v>0</v>
      </c>
      <c r="K759">
        <v>0</v>
      </c>
      <c r="L759">
        <v>0</v>
      </c>
      <c r="M759">
        <v>1</v>
      </c>
    </row>
    <row r="760" spans="1:13" x14ac:dyDescent="0.25">
      <c r="A760" t="s">
        <v>0</v>
      </c>
      <c r="B760" s="5">
        <v>3.8</v>
      </c>
      <c r="C760" t="s">
        <v>836</v>
      </c>
      <c r="D760" t="s">
        <v>837</v>
      </c>
      <c r="E760" t="s">
        <v>835</v>
      </c>
      <c r="F760" s="4">
        <v>91000</v>
      </c>
      <c r="G760" s="4">
        <v>129000</v>
      </c>
      <c r="H760" s="4">
        <f t="shared" si="11"/>
        <v>110000</v>
      </c>
      <c r="I760">
        <v>0</v>
      </c>
      <c r="J760">
        <v>0</v>
      </c>
      <c r="K760">
        <v>0</v>
      </c>
      <c r="L760">
        <v>0</v>
      </c>
      <c r="M760">
        <v>1</v>
      </c>
    </row>
    <row r="761" spans="1:13" x14ac:dyDescent="0.25">
      <c r="A761" t="s">
        <v>0</v>
      </c>
      <c r="B761" s="5">
        <v>3.8</v>
      </c>
      <c r="C761" t="s">
        <v>836</v>
      </c>
      <c r="D761" t="s">
        <v>837</v>
      </c>
      <c r="E761" t="s">
        <v>835</v>
      </c>
      <c r="F761" s="4">
        <v>91000</v>
      </c>
      <c r="G761" s="4">
        <v>129000</v>
      </c>
      <c r="H761" s="4">
        <f t="shared" si="11"/>
        <v>110000</v>
      </c>
      <c r="I761">
        <v>0</v>
      </c>
      <c r="J761">
        <v>0</v>
      </c>
      <c r="K761">
        <v>0</v>
      </c>
      <c r="L761">
        <v>0</v>
      </c>
      <c r="M761">
        <v>1</v>
      </c>
    </row>
    <row r="762" spans="1:13" x14ac:dyDescent="0.25">
      <c r="A762" t="s">
        <v>0</v>
      </c>
      <c r="B762" s="5">
        <v>3.8</v>
      </c>
      <c r="C762" t="s">
        <v>836</v>
      </c>
      <c r="D762" t="s">
        <v>837</v>
      </c>
      <c r="E762" t="s">
        <v>835</v>
      </c>
      <c r="F762" s="4">
        <v>91000</v>
      </c>
      <c r="G762" s="4">
        <v>129000</v>
      </c>
      <c r="H762" s="4">
        <f t="shared" si="11"/>
        <v>110000</v>
      </c>
      <c r="I762">
        <v>0</v>
      </c>
      <c r="J762">
        <v>0</v>
      </c>
      <c r="K762">
        <v>0</v>
      </c>
      <c r="L762">
        <v>0</v>
      </c>
      <c r="M762">
        <v>1</v>
      </c>
    </row>
    <row r="763" spans="1:13" x14ac:dyDescent="0.25">
      <c r="A763" t="s">
        <v>0</v>
      </c>
      <c r="B763" s="5">
        <v>3.8</v>
      </c>
      <c r="C763" t="s">
        <v>836</v>
      </c>
      <c r="D763" t="s">
        <v>837</v>
      </c>
      <c r="E763" t="s">
        <v>835</v>
      </c>
      <c r="F763" s="4">
        <v>91000</v>
      </c>
      <c r="G763" s="4">
        <v>129000</v>
      </c>
      <c r="H763" s="4">
        <f t="shared" si="11"/>
        <v>110000</v>
      </c>
      <c r="I763">
        <v>0</v>
      </c>
      <c r="J763">
        <v>0</v>
      </c>
      <c r="K763">
        <v>0</v>
      </c>
      <c r="L763">
        <v>0</v>
      </c>
      <c r="M763">
        <v>1</v>
      </c>
    </row>
    <row r="764" spans="1:13" x14ac:dyDescent="0.25">
      <c r="A764" t="s">
        <v>0</v>
      </c>
      <c r="B764" s="5">
        <v>3.8</v>
      </c>
      <c r="C764" t="s">
        <v>836</v>
      </c>
      <c r="D764" t="s">
        <v>837</v>
      </c>
      <c r="E764" t="s">
        <v>835</v>
      </c>
      <c r="F764" s="4">
        <v>91000</v>
      </c>
      <c r="G764" s="4">
        <v>129000</v>
      </c>
      <c r="H764" s="4">
        <f t="shared" si="11"/>
        <v>110000</v>
      </c>
      <c r="I764">
        <v>0</v>
      </c>
      <c r="J764">
        <v>0</v>
      </c>
      <c r="K764">
        <v>0</v>
      </c>
      <c r="L764">
        <v>0</v>
      </c>
      <c r="M764">
        <v>1</v>
      </c>
    </row>
    <row r="765" spans="1:13" x14ac:dyDescent="0.25">
      <c r="A765" t="s">
        <v>0</v>
      </c>
      <c r="B765" s="5">
        <v>3.8</v>
      </c>
      <c r="C765" t="s">
        <v>836</v>
      </c>
      <c r="D765" t="s">
        <v>837</v>
      </c>
      <c r="E765" t="s">
        <v>835</v>
      </c>
      <c r="F765" s="4">
        <v>91000</v>
      </c>
      <c r="G765" s="4">
        <v>129000</v>
      </c>
      <c r="H765" s="4">
        <f t="shared" si="11"/>
        <v>110000</v>
      </c>
      <c r="I765">
        <v>0</v>
      </c>
      <c r="J765">
        <v>0</v>
      </c>
      <c r="K765">
        <v>0</v>
      </c>
      <c r="L765">
        <v>0</v>
      </c>
      <c r="M765">
        <v>1</v>
      </c>
    </row>
    <row r="766" spans="1:13" x14ac:dyDescent="0.25">
      <c r="A766" t="s">
        <v>0</v>
      </c>
      <c r="B766" s="5">
        <v>3.8</v>
      </c>
      <c r="C766" t="s">
        <v>836</v>
      </c>
      <c r="D766" t="s">
        <v>837</v>
      </c>
      <c r="E766" t="s">
        <v>835</v>
      </c>
      <c r="F766" s="4">
        <v>91000</v>
      </c>
      <c r="G766" s="4">
        <v>129000</v>
      </c>
      <c r="H766" s="4">
        <f t="shared" si="11"/>
        <v>110000</v>
      </c>
      <c r="I766">
        <v>0</v>
      </c>
      <c r="J766">
        <v>0</v>
      </c>
      <c r="K766">
        <v>0</v>
      </c>
      <c r="L766">
        <v>0</v>
      </c>
      <c r="M766">
        <v>1</v>
      </c>
    </row>
    <row r="767" spans="1:13" x14ac:dyDescent="0.25">
      <c r="A767" t="s">
        <v>0</v>
      </c>
      <c r="B767" s="5">
        <v>3.8</v>
      </c>
      <c r="C767" t="s">
        <v>836</v>
      </c>
      <c r="D767" t="s">
        <v>837</v>
      </c>
      <c r="E767" t="s">
        <v>835</v>
      </c>
      <c r="F767" s="4">
        <v>91000</v>
      </c>
      <c r="G767" s="4">
        <v>129000</v>
      </c>
      <c r="H767" s="4">
        <f t="shared" si="11"/>
        <v>110000</v>
      </c>
      <c r="I767">
        <v>0</v>
      </c>
      <c r="J767">
        <v>0</v>
      </c>
      <c r="K767">
        <v>0</v>
      </c>
      <c r="L767">
        <v>0</v>
      </c>
      <c r="M767">
        <v>1</v>
      </c>
    </row>
    <row r="768" spans="1:13" x14ac:dyDescent="0.25">
      <c r="A768" t="s">
        <v>0</v>
      </c>
      <c r="B768" s="5">
        <v>3.8</v>
      </c>
      <c r="C768" t="s">
        <v>836</v>
      </c>
      <c r="D768" t="s">
        <v>837</v>
      </c>
      <c r="E768" t="s">
        <v>835</v>
      </c>
      <c r="F768" s="4">
        <v>91000</v>
      </c>
      <c r="G768" s="4">
        <v>129000</v>
      </c>
      <c r="H768" s="4">
        <f t="shared" si="11"/>
        <v>110000</v>
      </c>
      <c r="I768">
        <v>0</v>
      </c>
      <c r="J768">
        <v>0</v>
      </c>
      <c r="K768">
        <v>0</v>
      </c>
      <c r="L768">
        <v>0</v>
      </c>
      <c r="M768">
        <v>1</v>
      </c>
    </row>
    <row r="769" spans="1:13" x14ac:dyDescent="0.25">
      <c r="A769" t="s">
        <v>0</v>
      </c>
      <c r="B769" s="5">
        <v>3.8</v>
      </c>
      <c r="C769" t="s">
        <v>836</v>
      </c>
      <c r="D769" t="s">
        <v>837</v>
      </c>
      <c r="E769" t="s">
        <v>835</v>
      </c>
      <c r="F769" s="4">
        <v>91000</v>
      </c>
      <c r="G769" s="4">
        <v>129000</v>
      </c>
      <c r="H769" s="4">
        <f t="shared" si="11"/>
        <v>110000</v>
      </c>
      <c r="I769">
        <v>0</v>
      </c>
      <c r="J769">
        <v>0</v>
      </c>
      <c r="K769">
        <v>0</v>
      </c>
      <c r="L769">
        <v>0</v>
      </c>
      <c r="M769">
        <v>1</v>
      </c>
    </row>
    <row r="770" spans="1:13" x14ac:dyDescent="0.25">
      <c r="A770" t="s">
        <v>0</v>
      </c>
      <c r="B770" s="5">
        <v>3.8</v>
      </c>
      <c r="C770" t="s">
        <v>836</v>
      </c>
      <c r="D770" t="s">
        <v>837</v>
      </c>
      <c r="E770" t="s">
        <v>835</v>
      </c>
      <c r="F770" s="4">
        <v>91000</v>
      </c>
      <c r="G770" s="4">
        <v>129000</v>
      </c>
      <c r="H770" s="4">
        <f t="shared" si="11"/>
        <v>110000</v>
      </c>
      <c r="I770">
        <v>0</v>
      </c>
      <c r="J770">
        <v>0</v>
      </c>
      <c r="K770">
        <v>0</v>
      </c>
      <c r="L770">
        <v>0</v>
      </c>
      <c r="M770">
        <v>1</v>
      </c>
    </row>
    <row r="771" spans="1:13" x14ac:dyDescent="0.25">
      <c r="A771" t="s">
        <v>0</v>
      </c>
      <c r="B771" s="5">
        <v>3.8</v>
      </c>
      <c r="C771" t="s">
        <v>836</v>
      </c>
      <c r="D771" t="s">
        <v>837</v>
      </c>
      <c r="E771" t="s">
        <v>835</v>
      </c>
      <c r="F771" s="4">
        <v>91000</v>
      </c>
      <c r="G771" s="4">
        <v>129000</v>
      </c>
      <c r="H771" s="4">
        <f t="shared" ref="H771:H834" si="12">(F771+G771)/2</f>
        <v>110000</v>
      </c>
      <c r="I771">
        <v>0</v>
      </c>
      <c r="J771">
        <v>0</v>
      </c>
      <c r="K771">
        <v>0</v>
      </c>
      <c r="L771">
        <v>0</v>
      </c>
      <c r="M771">
        <v>1</v>
      </c>
    </row>
    <row r="772" spans="1:13" x14ac:dyDescent="0.25">
      <c r="A772" t="s">
        <v>0</v>
      </c>
      <c r="B772" s="5">
        <v>3.8</v>
      </c>
      <c r="C772" t="s">
        <v>836</v>
      </c>
      <c r="D772" t="s">
        <v>837</v>
      </c>
      <c r="E772" t="s">
        <v>835</v>
      </c>
      <c r="F772" s="4">
        <v>91000</v>
      </c>
      <c r="G772" s="4">
        <v>129000</v>
      </c>
      <c r="H772" s="4">
        <f t="shared" si="12"/>
        <v>110000</v>
      </c>
      <c r="I772">
        <v>0</v>
      </c>
      <c r="J772">
        <v>0</v>
      </c>
      <c r="K772">
        <v>0</v>
      </c>
      <c r="L772">
        <v>0</v>
      </c>
      <c r="M772">
        <v>1</v>
      </c>
    </row>
    <row r="773" spans="1:13" x14ac:dyDescent="0.25">
      <c r="A773" t="s">
        <v>0</v>
      </c>
      <c r="B773" s="5">
        <v>4.5</v>
      </c>
      <c r="C773" t="s">
        <v>838</v>
      </c>
      <c r="D773" t="s">
        <v>839</v>
      </c>
      <c r="E773" t="s">
        <v>835</v>
      </c>
      <c r="F773" s="4">
        <v>71000</v>
      </c>
      <c r="G773" s="4">
        <v>103000</v>
      </c>
      <c r="H773" s="4">
        <f t="shared" si="12"/>
        <v>87000</v>
      </c>
      <c r="I773">
        <v>0</v>
      </c>
      <c r="J773">
        <v>0</v>
      </c>
      <c r="K773">
        <v>0</v>
      </c>
      <c r="L773">
        <v>0</v>
      </c>
      <c r="M773">
        <v>1</v>
      </c>
    </row>
    <row r="774" spans="1:13" x14ac:dyDescent="0.25">
      <c r="A774" t="s">
        <v>840</v>
      </c>
      <c r="B774" s="5">
        <v>3.9</v>
      </c>
      <c r="C774" t="s">
        <v>841</v>
      </c>
      <c r="D774" t="s">
        <v>842</v>
      </c>
      <c r="E774" t="s">
        <v>835</v>
      </c>
      <c r="F774" s="4">
        <v>70000</v>
      </c>
      <c r="G774" s="4">
        <v>106000</v>
      </c>
      <c r="H774" s="4">
        <f t="shared" si="12"/>
        <v>88000</v>
      </c>
      <c r="I774">
        <v>0</v>
      </c>
      <c r="J774">
        <v>0</v>
      </c>
      <c r="K774">
        <v>0</v>
      </c>
      <c r="L774">
        <v>0</v>
      </c>
      <c r="M774">
        <v>1</v>
      </c>
    </row>
    <row r="775" spans="1:13" x14ac:dyDescent="0.25">
      <c r="A775" t="s">
        <v>30</v>
      </c>
      <c r="B775" s="5">
        <v>3.7</v>
      </c>
      <c r="C775" t="s">
        <v>677</v>
      </c>
      <c r="D775" t="s">
        <v>843</v>
      </c>
      <c r="E775" t="s">
        <v>835</v>
      </c>
      <c r="F775" s="4">
        <v>121000</v>
      </c>
      <c r="G775" s="4">
        <v>158000</v>
      </c>
      <c r="H775" s="4">
        <f t="shared" si="12"/>
        <v>139500</v>
      </c>
      <c r="I775">
        <v>0</v>
      </c>
      <c r="J775">
        <v>0</v>
      </c>
      <c r="K775">
        <v>0</v>
      </c>
      <c r="L775">
        <v>0</v>
      </c>
      <c r="M775">
        <v>1</v>
      </c>
    </row>
    <row r="776" spans="1:13" x14ac:dyDescent="0.25">
      <c r="A776" t="s">
        <v>121</v>
      </c>
      <c r="B776" s="5">
        <v>3.8</v>
      </c>
      <c r="C776" t="s">
        <v>844</v>
      </c>
      <c r="D776" t="s">
        <v>843</v>
      </c>
      <c r="E776" t="s">
        <v>835</v>
      </c>
      <c r="F776" s="4">
        <v>101000</v>
      </c>
      <c r="G776" s="4">
        <v>135000</v>
      </c>
      <c r="H776" s="4">
        <f t="shared" si="12"/>
        <v>118000</v>
      </c>
      <c r="I776">
        <v>0</v>
      </c>
      <c r="J776">
        <v>0</v>
      </c>
      <c r="K776">
        <v>0</v>
      </c>
      <c r="L776">
        <v>0</v>
      </c>
      <c r="M776">
        <v>1</v>
      </c>
    </row>
    <row r="777" spans="1:13" x14ac:dyDescent="0.25">
      <c r="A777" t="s">
        <v>678</v>
      </c>
      <c r="B777" s="5">
        <v>3.8</v>
      </c>
      <c r="C777" t="s">
        <v>844</v>
      </c>
      <c r="D777" t="s">
        <v>843</v>
      </c>
      <c r="E777" t="s">
        <v>835</v>
      </c>
      <c r="F777" s="4">
        <v>97000</v>
      </c>
      <c r="G777" s="4">
        <v>127000</v>
      </c>
      <c r="H777" s="4">
        <f t="shared" si="12"/>
        <v>112000</v>
      </c>
      <c r="I777">
        <v>0</v>
      </c>
      <c r="J777">
        <v>0</v>
      </c>
      <c r="K777">
        <v>0</v>
      </c>
      <c r="L777">
        <v>0</v>
      </c>
      <c r="M777">
        <v>1</v>
      </c>
    </row>
    <row r="778" spans="1:13" x14ac:dyDescent="0.25">
      <c r="A778" t="s">
        <v>0</v>
      </c>
      <c r="C778" t="s">
        <v>845</v>
      </c>
      <c r="D778" t="s">
        <v>843</v>
      </c>
      <c r="E778" t="s">
        <v>835</v>
      </c>
      <c r="F778" s="4">
        <v>83200</v>
      </c>
      <c r="G778" s="4">
        <v>104000</v>
      </c>
      <c r="H778" s="4">
        <f t="shared" si="12"/>
        <v>93600</v>
      </c>
      <c r="I778">
        <v>1</v>
      </c>
      <c r="J778">
        <v>1</v>
      </c>
      <c r="K778">
        <v>0</v>
      </c>
      <c r="L778">
        <v>0</v>
      </c>
      <c r="M778">
        <v>1</v>
      </c>
    </row>
    <row r="779" spans="1:13" x14ac:dyDescent="0.25">
      <c r="A779" t="s">
        <v>0</v>
      </c>
      <c r="C779" t="s">
        <v>846</v>
      </c>
      <c r="D779" t="s">
        <v>847</v>
      </c>
      <c r="E779" t="s">
        <v>835</v>
      </c>
      <c r="F779" s="4">
        <v>87000</v>
      </c>
      <c r="G779" s="4">
        <v>122000</v>
      </c>
      <c r="H779" s="4">
        <f t="shared" si="12"/>
        <v>104500</v>
      </c>
      <c r="I779">
        <v>0</v>
      </c>
      <c r="J779">
        <v>0</v>
      </c>
      <c r="K779">
        <v>0</v>
      </c>
      <c r="L779">
        <v>0</v>
      </c>
      <c r="M779">
        <v>1</v>
      </c>
    </row>
    <row r="780" spans="1:13" x14ac:dyDescent="0.25">
      <c r="A780" t="s">
        <v>0</v>
      </c>
      <c r="B780" s="5">
        <v>4.4000000000000004</v>
      </c>
      <c r="C780" t="s">
        <v>133</v>
      </c>
      <c r="D780" t="s">
        <v>847</v>
      </c>
      <c r="E780" t="s">
        <v>835</v>
      </c>
      <c r="F780" s="4">
        <v>82000</v>
      </c>
      <c r="G780" s="4">
        <v>140000</v>
      </c>
      <c r="H780" s="4">
        <f t="shared" si="12"/>
        <v>111000</v>
      </c>
      <c r="I780">
        <v>0</v>
      </c>
      <c r="J780">
        <v>0</v>
      </c>
      <c r="K780">
        <v>0</v>
      </c>
      <c r="L780">
        <v>0</v>
      </c>
      <c r="M780">
        <v>1</v>
      </c>
    </row>
    <row r="781" spans="1:13" x14ac:dyDescent="0.25">
      <c r="A781" t="s">
        <v>0</v>
      </c>
      <c r="B781" s="5">
        <v>4.4000000000000004</v>
      </c>
      <c r="C781" t="s">
        <v>133</v>
      </c>
      <c r="D781" t="s">
        <v>847</v>
      </c>
      <c r="E781" t="s">
        <v>835</v>
      </c>
      <c r="F781" s="4">
        <v>82000</v>
      </c>
      <c r="G781" s="4">
        <v>140000</v>
      </c>
      <c r="H781" s="4">
        <f t="shared" si="12"/>
        <v>111000</v>
      </c>
      <c r="I781">
        <v>0</v>
      </c>
      <c r="J781">
        <v>0</v>
      </c>
      <c r="K781">
        <v>0</v>
      </c>
      <c r="L781">
        <v>0</v>
      </c>
      <c r="M781">
        <v>1</v>
      </c>
    </row>
    <row r="782" spans="1:13" x14ac:dyDescent="0.25">
      <c r="A782" t="s">
        <v>0</v>
      </c>
      <c r="B782" s="5">
        <v>4.4000000000000004</v>
      </c>
      <c r="C782" t="s">
        <v>133</v>
      </c>
      <c r="D782" t="s">
        <v>847</v>
      </c>
      <c r="E782" t="s">
        <v>835</v>
      </c>
      <c r="F782" s="4">
        <v>82000</v>
      </c>
      <c r="G782" s="4">
        <v>140000</v>
      </c>
      <c r="H782" s="4">
        <f t="shared" si="12"/>
        <v>111000</v>
      </c>
      <c r="I782">
        <v>0</v>
      </c>
      <c r="J782">
        <v>0</v>
      </c>
      <c r="K782">
        <v>0</v>
      </c>
      <c r="L782">
        <v>0</v>
      </c>
      <c r="M782">
        <v>1</v>
      </c>
    </row>
    <row r="783" spans="1:13" x14ac:dyDescent="0.25">
      <c r="A783" t="s">
        <v>0</v>
      </c>
      <c r="B783" s="5">
        <v>4.4000000000000004</v>
      </c>
      <c r="C783" t="s">
        <v>133</v>
      </c>
      <c r="D783" t="s">
        <v>847</v>
      </c>
      <c r="E783" t="s">
        <v>835</v>
      </c>
      <c r="F783" s="4">
        <v>82000</v>
      </c>
      <c r="G783" s="4">
        <v>140000</v>
      </c>
      <c r="H783" s="4">
        <f t="shared" si="12"/>
        <v>111000</v>
      </c>
      <c r="I783">
        <v>0</v>
      </c>
      <c r="J783">
        <v>0</v>
      </c>
      <c r="K783">
        <v>0</v>
      </c>
      <c r="L783">
        <v>0</v>
      </c>
      <c r="M783">
        <v>1</v>
      </c>
    </row>
    <row r="784" spans="1:13" x14ac:dyDescent="0.25">
      <c r="A784" t="s">
        <v>0</v>
      </c>
      <c r="B784" s="5">
        <v>4.4000000000000004</v>
      </c>
      <c r="C784" t="s">
        <v>133</v>
      </c>
      <c r="D784" t="s">
        <v>847</v>
      </c>
      <c r="E784" t="s">
        <v>835</v>
      </c>
      <c r="F784" s="4">
        <v>82000</v>
      </c>
      <c r="G784" s="4">
        <v>140000</v>
      </c>
      <c r="H784" s="4">
        <f t="shared" si="12"/>
        <v>111000</v>
      </c>
      <c r="I784">
        <v>0</v>
      </c>
      <c r="J784">
        <v>0</v>
      </c>
      <c r="K784">
        <v>0</v>
      </c>
      <c r="L784">
        <v>0</v>
      </c>
      <c r="M784">
        <v>1</v>
      </c>
    </row>
    <row r="785" spans="1:13" x14ac:dyDescent="0.25">
      <c r="A785" t="s">
        <v>0</v>
      </c>
      <c r="B785" s="5">
        <v>4.4000000000000004</v>
      </c>
      <c r="C785" t="s">
        <v>133</v>
      </c>
      <c r="D785" t="s">
        <v>847</v>
      </c>
      <c r="E785" t="s">
        <v>835</v>
      </c>
      <c r="F785" s="4">
        <v>82000</v>
      </c>
      <c r="G785" s="4">
        <v>140000</v>
      </c>
      <c r="H785" s="4">
        <f t="shared" si="12"/>
        <v>111000</v>
      </c>
      <c r="I785">
        <v>0</v>
      </c>
      <c r="J785">
        <v>0</v>
      </c>
      <c r="K785">
        <v>0</v>
      </c>
      <c r="L785">
        <v>0</v>
      </c>
      <c r="M785">
        <v>1</v>
      </c>
    </row>
    <row r="786" spans="1:13" x14ac:dyDescent="0.25">
      <c r="A786" t="s">
        <v>145</v>
      </c>
      <c r="B786" s="5">
        <v>3.2</v>
      </c>
      <c r="C786" t="s">
        <v>848</v>
      </c>
      <c r="D786" t="s">
        <v>847</v>
      </c>
      <c r="E786" t="s">
        <v>835</v>
      </c>
      <c r="F786" s="4">
        <v>79705.600000000006</v>
      </c>
      <c r="G786" s="4">
        <v>134888</v>
      </c>
      <c r="H786" s="4">
        <f t="shared" si="12"/>
        <v>107296.8</v>
      </c>
      <c r="I786">
        <v>0</v>
      </c>
      <c r="J786">
        <v>0</v>
      </c>
      <c r="K786">
        <v>0</v>
      </c>
      <c r="L786">
        <v>0</v>
      </c>
      <c r="M786">
        <v>1</v>
      </c>
    </row>
    <row r="787" spans="1:13" x14ac:dyDescent="0.25">
      <c r="A787" t="s">
        <v>849</v>
      </c>
      <c r="B787" s="5">
        <v>3.9</v>
      </c>
      <c r="C787" t="s">
        <v>850</v>
      </c>
      <c r="D787" t="s">
        <v>847</v>
      </c>
      <c r="E787" t="s">
        <v>835</v>
      </c>
      <c r="F787" s="4">
        <v>44000</v>
      </c>
      <c r="G787" s="4">
        <v>59000</v>
      </c>
      <c r="H787" s="4">
        <f t="shared" si="12"/>
        <v>51500</v>
      </c>
      <c r="I787">
        <v>0</v>
      </c>
      <c r="J787">
        <v>1</v>
      </c>
      <c r="K787">
        <v>0</v>
      </c>
      <c r="L787">
        <v>0</v>
      </c>
      <c r="M787">
        <v>1</v>
      </c>
    </row>
    <row r="788" spans="1:13" x14ac:dyDescent="0.25">
      <c r="A788" t="s">
        <v>30</v>
      </c>
      <c r="B788" s="5">
        <v>3.4</v>
      </c>
      <c r="C788" t="s">
        <v>851</v>
      </c>
      <c r="D788" t="s">
        <v>852</v>
      </c>
      <c r="E788" t="s">
        <v>835</v>
      </c>
      <c r="F788" s="4">
        <v>113000</v>
      </c>
      <c r="G788" s="4">
        <v>148000</v>
      </c>
      <c r="H788" s="4">
        <f t="shared" si="12"/>
        <v>130500</v>
      </c>
      <c r="I788">
        <v>0</v>
      </c>
      <c r="J788">
        <v>0</v>
      </c>
      <c r="K788">
        <v>0</v>
      </c>
      <c r="L788">
        <v>0</v>
      </c>
      <c r="M788">
        <v>1</v>
      </c>
    </row>
    <row r="789" spans="1:13" x14ac:dyDescent="0.25">
      <c r="A789" t="s">
        <v>853</v>
      </c>
      <c r="B789" s="5">
        <v>3.9</v>
      </c>
      <c r="C789" t="s">
        <v>854</v>
      </c>
      <c r="D789" t="s">
        <v>855</v>
      </c>
      <c r="E789" t="s">
        <v>855</v>
      </c>
      <c r="F789" s="4">
        <v>250000</v>
      </c>
      <c r="G789" s="4">
        <v>275000</v>
      </c>
      <c r="H789" s="4">
        <f t="shared" si="12"/>
        <v>262500</v>
      </c>
      <c r="I789">
        <v>0</v>
      </c>
      <c r="J789">
        <v>0</v>
      </c>
      <c r="K789">
        <v>0</v>
      </c>
      <c r="L789">
        <v>0</v>
      </c>
      <c r="M789">
        <v>0</v>
      </c>
    </row>
    <row r="790" spans="1:13" x14ac:dyDescent="0.25">
      <c r="A790" t="s">
        <v>165</v>
      </c>
      <c r="B790" s="5">
        <v>3.3</v>
      </c>
      <c r="C790" t="s">
        <v>166</v>
      </c>
      <c r="D790" t="s">
        <v>855</v>
      </c>
      <c r="E790" t="s">
        <v>855</v>
      </c>
      <c r="F790" s="4">
        <v>211000</v>
      </c>
      <c r="G790" s="4">
        <v>262000</v>
      </c>
      <c r="H790" s="4">
        <f t="shared" si="12"/>
        <v>236500</v>
      </c>
      <c r="I790">
        <v>0</v>
      </c>
      <c r="J790">
        <v>0</v>
      </c>
      <c r="K790">
        <v>0</v>
      </c>
      <c r="L790">
        <v>0</v>
      </c>
      <c r="M790">
        <v>0</v>
      </c>
    </row>
    <row r="791" spans="1:13" x14ac:dyDescent="0.25">
      <c r="A791" t="s">
        <v>856</v>
      </c>
      <c r="B791" s="5">
        <v>4.7</v>
      </c>
      <c r="C791" t="s">
        <v>857</v>
      </c>
      <c r="D791" t="s">
        <v>855</v>
      </c>
      <c r="E791" t="s">
        <v>855</v>
      </c>
      <c r="F791" s="4">
        <v>183000</v>
      </c>
      <c r="G791" s="4">
        <v>251000</v>
      </c>
      <c r="H791" s="4">
        <f t="shared" si="12"/>
        <v>217000</v>
      </c>
      <c r="I791">
        <v>0</v>
      </c>
      <c r="J791">
        <v>0</v>
      </c>
      <c r="K791">
        <v>0</v>
      </c>
      <c r="L791">
        <v>0</v>
      </c>
      <c r="M791">
        <v>0</v>
      </c>
    </row>
    <row r="792" spans="1:13" x14ac:dyDescent="0.25">
      <c r="A792" t="s">
        <v>110</v>
      </c>
      <c r="B792" s="5">
        <v>5</v>
      </c>
      <c r="C792" t="s">
        <v>858</v>
      </c>
      <c r="D792" t="s">
        <v>855</v>
      </c>
      <c r="E792" t="s">
        <v>855</v>
      </c>
      <c r="F792" s="4">
        <v>180000</v>
      </c>
      <c r="G792" s="4">
        <v>230000</v>
      </c>
      <c r="H792" s="4">
        <f t="shared" si="12"/>
        <v>205000</v>
      </c>
      <c r="I792">
        <v>0</v>
      </c>
      <c r="J792">
        <v>0</v>
      </c>
      <c r="K792">
        <v>0</v>
      </c>
      <c r="L792">
        <v>0</v>
      </c>
      <c r="M792">
        <v>0</v>
      </c>
    </row>
    <row r="793" spans="1:13" x14ac:dyDescent="0.25">
      <c r="A793" t="s">
        <v>859</v>
      </c>
      <c r="B793" s="5">
        <v>4.7</v>
      </c>
      <c r="C793" t="s">
        <v>857</v>
      </c>
      <c r="D793" t="s">
        <v>855</v>
      </c>
      <c r="E793" t="s">
        <v>855</v>
      </c>
      <c r="F793" s="4">
        <v>156000</v>
      </c>
      <c r="G793" s="4">
        <v>215000</v>
      </c>
      <c r="H793" s="4">
        <f t="shared" si="12"/>
        <v>185500</v>
      </c>
      <c r="I793">
        <v>0</v>
      </c>
      <c r="J793">
        <v>0</v>
      </c>
      <c r="K793">
        <v>0</v>
      </c>
      <c r="L793">
        <v>0</v>
      </c>
      <c r="M793">
        <v>0</v>
      </c>
    </row>
    <row r="794" spans="1:13" x14ac:dyDescent="0.25">
      <c r="A794" t="s">
        <v>860</v>
      </c>
      <c r="B794" s="5">
        <v>4.7</v>
      </c>
      <c r="C794" t="s">
        <v>857</v>
      </c>
      <c r="D794" t="s">
        <v>855</v>
      </c>
      <c r="E794" t="s">
        <v>855</v>
      </c>
      <c r="F794" s="4">
        <v>156000</v>
      </c>
      <c r="G794" s="4">
        <v>215000</v>
      </c>
      <c r="H794" s="4">
        <f t="shared" si="12"/>
        <v>185500</v>
      </c>
      <c r="I794">
        <v>0</v>
      </c>
      <c r="J794">
        <v>0</v>
      </c>
      <c r="K794">
        <v>0</v>
      </c>
      <c r="L794">
        <v>0</v>
      </c>
      <c r="M794">
        <v>0</v>
      </c>
    </row>
    <row r="795" spans="1:13" x14ac:dyDescent="0.25">
      <c r="A795" t="s">
        <v>860</v>
      </c>
      <c r="B795" s="5">
        <v>4.7</v>
      </c>
      <c r="C795" t="s">
        <v>857</v>
      </c>
      <c r="D795" t="s">
        <v>855</v>
      </c>
      <c r="E795" t="s">
        <v>855</v>
      </c>
      <c r="F795" s="4">
        <v>156000</v>
      </c>
      <c r="G795" s="4">
        <v>215000</v>
      </c>
      <c r="H795" s="4">
        <f t="shared" si="12"/>
        <v>185500</v>
      </c>
      <c r="I795">
        <v>0</v>
      </c>
      <c r="J795">
        <v>0</v>
      </c>
      <c r="K795">
        <v>0</v>
      </c>
      <c r="L795">
        <v>0</v>
      </c>
      <c r="M795">
        <v>0</v>
      </c>
    </row>
    <row r="796" spans="1:13" x14ac:dyDescent="0.25">
      <c r="A796" t="s">
        <v>0</v>
      </c>
      <c r="C796" t="s">
        <v>861</v>
      </c>
      <c r="D796" t="s">
        <v>855</v>
      </c>
      <c r="E796" t="s">
        <v>855</v>
      </c>
      <c r="F796" s="4">
        <v>155000</v>
      </c>
      <c r="G796" s="4">
        <v>166000</v>
      </c>
      <c r="H796" s="4">
        <f t="shared" si="12"/>
        <v>160500</v>
      </c>
      <c r="I796">
        <v>0</v>
      </c>
      <c r="J796">
        <v>0</v>
      </c>
      <c r="K796">
        <v>0</v>
      </c>
      <c r="L796">
        <v>0</v>
      </c>
      <c r="M796">
        <v>0</v>
      </c>
    </row>
    <row r="797" spans="1:13" x14ac:dyDescent="0.25">
      <c r="A797" t="s">
        <v>553</v>
      </c>
      <c r="B797" s="5">
        <v>3.7</v>
      </c>
      <c r="C797" t="s">
        <v>862</v>
      </c>
      <c r="D797" t="s">
        <v>855</v>
      </c>
      <c r="E797" t="s">
        <v>855</v>
      </c>
      <c r="F797" s="4">
        <v>146000</v>
      </c>
      <c r="G797" s="4">
        <v>174000</v>
      </c>
      <c r="H797" s="4">
        <f t="shared" si="12"/>
        <v>160000</v>
      </c>
      <c r="I797">
        <v>0</v>
      </c>
      <c r="J797">
        <v>0</v>
      </c>
      <c r="K797">
        <v>0</v>
      </c>
      <c r="L797">
        <v>0</v>
      </c>
      <c r="M797">
        <v>0</v>
      </c>
    </row>
    <row r="798" spans="1:13" x14ac:dyDescent="0.25">
      <c r="A798" t="s">
        <v>863</v>
      </c>
      <c r="B798" s="5">
        <v>4.0999999999999996</v>
      </c>
      <c r="C798" t="s">
        <v>779</v>
      </c>
      <c r="D798" t="s">
        <v>855</v>
      </c>
      <c r="E798" t="s">
        <v>855</v>
      </c>
      <c r="F798" s="4">
        <v>145000</v>
      </c>
      <c r="G798" s="4">
        <v>242000</v>
      </c>
      <c r="H798" s="4">
        <f t="shared" si="12"/>
        <v>193500</v>
      </c>
      <c r="I798">
        <v>0</v>
      </c>
      <c r="J798">
        <v>0</v>
      </c>
      <c r="K798">
        <v>0</v>
      </c>
      <c r="L798">
        <v>0</v>
      </c>
      <c r="M798">
        <v>0</v>
      </c>
    </row>
    <row r="799" spans="1:13" x14ac:dyDescent="0.25">
      <c r="A799" t="s">
        <v>30</v>
      </c>
      <c r="B799" s="5">
        <v>3.4</v>
      </c>
      <c r="C799" t="s">
        <v>864</v>
      </c>
      <c r="D799" t="s">
        <v>855</v>
      </c>
      <c r="E799" t="s">
        <v>855</v>
      </c>
      <c r="F799" s="4">
        <v>145000</v>
      </c>
      <c r="G799" s="4">
        <v>190000</v>
      </c>
      <c r="H799" s="4">
        <f t="shared" si="12"/>
        <v>167500</v>
      </c>
      <c r="I799">
        <v>0</v>
      </c>
      <c r="J799">
        <v>0</v>
      </c>
      <c r="K799">
        <v>0</v>
      </c>
      <c r="L799">
        <v>0</v>
      </c>
      <c r="M799">
        <v>0</v>
      </c>
    </row>
    <row r="800" spans="1:13" x14ac:dyDescent="0.25">
      <c r="A800" t="s">
        <v>84</v>
      </c>
      <c r="B800" s="5">
        <v>2.8</v>
      </c>
      <c r="C800" t="s">
        <v>865</v>
      </c>
      <c r="D800" t="s">
        <v>855</v>
      </c>
      <c r="E800" t="s">
        <v>855</v>
      </c>
      <c r="F800" s="4">
        <v>140000</v>
      </c>
      <c r="G800" s="4">
        <v>140000</v>
      </c>
      <c r="H800" s="4">
        <f t="shared" si="12"/>
        <v>140000</v>
      </c>
      <c r="I800">
        <v>0</v>
      </c>
      <c r="J800">
        <v>0</v>
      </c>
      <c r="K800">
        <v>0</v>
      </c>
      <c r="L800">
        <v>0</v>
      </c>
      <c r="M800">
        <v>0</v>
      </c>
    </row>
    <row r="801" spans="1:13" x14ac:dyDescent="0.25">
      <c r="A801" t="s">
        <v>30</v>
      </c>
      <c r="B801" s="5">
        <v>3.8</v>
      </c>
      <c r="C801" t="s">
        <v>866</v>
      </c>
      <c r="D801" t="s">
        <v>855</v>
      </c>
      <c r="E801" t="s">
        <v>855</v>
      </c>
      <c r="F801" s="4">
        <v>140000</v>
      </c>
      <c r="G801" s="4">
        <v>206000</v>
      </c>
      <c r="H801" s="4">
        <f t="shared" si="12"/>
        <v>173000</v>
      </c>
      <c r="I801">
        <v>0</v>
      </c>
      <c r="J801">
        <v>0</v>
      </c>
      <c r="K801">
        <v>0</v>
      </c>
      <c r="L801">
        <v>0</v>
      </c>
      <c r="M801">
        <v>0</v>
      </c>
    </row>
    <row r="802" spans="1:13" x14ac:dyDescent="0.25">
      <c r="A802" t="s">
        <v>0</v>
      </c>
      <c r="B802" s="5">
        <v>4.3</v>
      </c>
      <c r="C802" t="s">
        <v>867</v>
      </c>
      <c r="D802" t="s">
        <v>855</v>
      </c>
      <c r="E802" t="s">
        <v>855</v>
      </c>
      <c r="F802" s="4">
        <v>140000</v>
      </c>
      <c r="G802" s="4">
        <v>180000</v>
      </c>
      <c r="H802" s="4">
        <f t="shared" si="12"/>
        <v>160000</v>
      </c>
      <c r="I802">
        <v>0</v>
      </c>
      <c r="J802">
        <v>1</v>
      </c>
      <c r="K802">
        <v>0</v>
      </c>
      <c r="L802">
        <v>0</v>
      </c>
      <c r="M802">
        <v>0</v>
      </c>
    </row>
    <row r="803" spans="1:13" x14ac:dyDescent="0.25">
      <c r="A803" t="s">
        <v>868</v>
      </c>
      <c r="C803" t="s">
        <v>869</v>
      </c>
      <c r="D803" t="s">
        <v>855</v>
      </c>
      <c r="E803" t="s">
        <v>855</v>
      </c>
      <c r="F803" s="4">
        <v>135200</v>
      </c>
      <c r="G803" s="4">
        <v>156000</v>
      </c>
      <c r="H803" s="4">
        <f t="shared" si="12"/>
        <v>145600</v>
      </c>
      <c r="I803">
        <v>0</v>
      </c>
      <c r="J803">
        <v>0</v>
      </c>
      <c r="K803">
        <v>0</v>
      </c>
      <c r="L803">
        <v>0</v>
      </c>
      <c r="M803">
        <v>0</v>
      </c>
    </row>
    <row r="804" spans="1:13" x14ac:dyDescent="0.25">
      <c r="A804" t="s">
        <v>870</v>
      </c>
      <c r="B804" s="5">
        <v>4.4000000000000004</v>
      </c>
      <c r="C804" t="s">
        <v>871</v>
      </c>
      <c r="D804" t="s">
        <v>855</v>
      </c>
      <c r="E804" t="s">
        <v>855</v>
      </c>
      <c r="F804" s="4">
        <v>132000</v>
      </c>
      <c r="G804" s="4">
        <v>132000</v>
      </c>
      <c r="H804" s="4">
        <f t="shared" si="12"/>
        <v>132000</v>
      </c>
      <c r="I804">
        <v>0</v>
      </c>
      <c r="J804">
        <v>0</v>
      </c>
      <c r="K804">
        <v>0</v>
      </c>
      <c r="L804">
        <v>0</v>
      </c>
      <c r="M804">
        <v>0</v>
      </c>
    </row>
    <row r="805" spans="1:13" x14ac:dyDescent="0.25">
      <c r="A805" t="s">
        <v>872</v>
      </c>
      <c r="C805" t="s">
        <v>873</v>
      </c>
      <c r="D805" t="s">
        <v>855</v>
      </c>
      <c r="E805" t="s">
        <v>855</v>
      </c>
      <c r="F805" s="4">
        <v>130000</v>
      </c>
      <c r="G805" s="4">
        <v>160000</v>
      </c>
      <c r="H805" s="4">
        <f t="shared" si="12"/>
        <v>145000</v>
      </c>
      <c r="I805">
        <v>0</v>
      </c>
      <c r="J805">
        <v>0</v>
      </c>
      <c r="K805">
        <v>0</v>
      </c>
      <c r="L805">
        <v>0</v>
      </c>
      <c r="M805">
        <v>0</v>
      </c>
    </row>
    <row r="806" spans="1:13" x14ac:dyDescent="0.25">
      <c r="A806" t="s">
        <v>0</v>
      </c>
      <c r="C806" t="s">
        <v>874</v>
      </c>
      <c r="D806" t="s">
        <v>855</v>
      </c>
      <c r="E806" t="s">
        <v>855</v>
      </c>
      <c r="F806" s="4">
        <v>130000</v>
      </c>
      <c r="G806" s="4">
        <v>150000</v>
      </c>
      <c r="H806" s="4">
        <f t="shared" si="12"/>
        <v>140000</v>
      </c>
      <c r="I806">
        <v>0</v>
      </c>
      <c r="J806">
        <v>0</v>
      </c>
      <c r="K806">
        <v>0</v>
      </c>
      <c r="L806">
        <v>0</v>
      </c>
      <c r="M806">
        <v>0</v>
      </c>
    </row>
    <row r="807" spans="1:13" x14ac:dyDescent="0.25">
      <c r="A807" t="s">
        <v>875</v>
      </c>
      <c r="B807" s="5">
        <v>3.7</v>
      </c>
      <c r="C807" t="s">
        <v>876</v>
      </c>
      <c r="D807" t="s">
        <v>855</v>
      </c>
      <c r="E807" t="s">
        <v>855</v>
      </c>
      <c r="F807" s="4">
        <v>130000</v>
      </c>
      <c r="G807" s="4">
        <v>155000</v>
      </c>
      <c r="H807" s="4">
        <f t="shared" si="12"/>
        <v>142500</v>
      </c>
      <c r="I807">
        <v>0</v>
      </c>
      <c r="J807">
        <v>0</v>
      </c>
      <c r="K807">
        <v>0</v>
      </c>
      <c r="L807">
        <v>0</v>
      </c>
      <c r="M807">
        <v>0</v>
      </c>
    </row>
    <row r="808" spans="1:13" x14ac:dyDescent="0.25">
      <c r="A808" t="s">
        <v>0</v>
      </c>
      <c r="C808" t="s">
        <v>877</v>
      </c>
      <c r="D808" t="s">
        <v>855</v>
      </c>
      <c r="E808" t="s">
        <v>855</v>
      </c>
      <c r="F808" s="4">
        <v>124800</v>
      </c>
      <c r="G808" s="4">
        <v>145600</v>
      </c>
      <c r="H808" s="4">
        <f t="shared" si="12"/>
        <v>135200</v>
      </c>
      <c r="I808">
        <v>0</v>
      </c>
      <c r="J808">
        <v>0</v>
      </c>
      <c r="K808">
        <v>0</v>
      </c>
      <c r="L808">
        <v>0</v>
      </c>
      <c r="M808">
        <v>0</v>
      </c>
    </row>
    <row r="809" spans="1:13" x14ac:dyDescent="0.25">
      <c r="A809" t="s">
        <v>121</v>
      </c>
      <c r="B809" s="5">
        <v>3.8</v>
      </c>
      <c r="C809" t="s">
        <v>878</v>
      </c>
      <c r="D809" t="s">
        <v>855</v>
      </c>
      <c r="E809" t="s">
        <v>855</v>
      </c>
      <c r="F809" s="4">
        <v>123000</v>
      </c>
      <c r="G809" s="4">
        <v>164000</v>
      </c>
      <c r="H809" s="4">
        <f t="shared" si="12"/>
        <v>143500</v>
      </c>
      <c r="I809">
        <v>0</v>
      </c>
      <c r="J809">
        <v>0</v>
      </c>
      <c r="K809">
        <v>0</v>
      </c>
      <c r="L809">
        <v>0</v>
      </c>
      <c r="M809">
        <v>0</v>
      </c>
    </row>
    <row r="810" spans="1:13" x14ac:dyDescent="0.25">
      <c r="A810" t="s">
        <v>879</v>
      </c>
      <c r="B810" s="5">
        <v>4.4000000000000004</v>
      </c>
      <c r="C810" t="s">
        <v>880</v>
      </c>
      <c r="D810" t="s">
        <v>855</v>
      </c>
      <c r="E810" t="s">
        <v>855</v>
      </c>
      <c r="F810" s="4">
        <v>122000</v>
      </c>
      <c r="G810" s="4">
        <v>204000</v>
      </c>
      <c r="H810" s="4">
        <f t="shared" si="12"/>
        <v>163000</v>
      </c>
      <c r="I810">
        <v>0</v>
      </c>
      <c r="J810">
        <v>0</v>
      </c>
      <c r="K810">
        <v>0</v>
      </c>
      <c r="L810">
        <v>0</v>
      </c>
      <c r="M810">
        <v>0</v>
      </c>
    </row>
    <row r="811" spans="1:13" x14ac:dyDescent="0.25">
      <c r="A811" t="s">
        <v>881</v>
      </c>
      <c r="B811" s="5">
        <v>4.4000000000000004</v>
      </c>
      <c r="C811" t="s">
        <v>882</v>
      </c>
      <c r="D811" t="s">
        <v>855</v>
      </c>
      <c r="E811" t="s">
        <v>855</v>
      </c>
      <c r="F811" s="4">
        <v>122000</v>
      </c>
      <c r="G811" s="4">
        <v>171000</v>
      </c>
      <c r="H811" s="4">
        <f t="shared" si="12"/>
        <v>146500</v>
      </c>
      <c r="I811">
        <v>0</v>
      </c>
      <c r="J811">
        <v>0</v>
      </c>
      <c r="K811">
        <v>0</v>
      </c>
      <c r="L811">
        <v>0</v>
      </c>
      <c r="M811">
        <v>0</v>
      </c>
    </row>
    <row r="812" spans="1:13" x14ac:dyDescent="0.25">
      <c r="A812" t="s">
        <v>883</v>
      </c>
      <c r="B812" s="5">
        <v>4.0999999999999996</v>
      </c>
      <c r="C812" t="s">
        <v>779</v>
      </c>
      <c r="D812" t="s">
        <v>855</v>
      </c>
      <c r="E812" t="s">
        <v>855</v>
      </c>
      <c r="F812" s="4">
        <v>114000</v>
      </c>
      <c r="G812" s="4">
        <v>190000</v>
      </c>
      <c r="H812" s="4">
        <f t="shared" si="12"/>
        <v>152000</v>
      </c>
      <c r="I812">
        <v>0</v>
      </c>
      <c r="J812">
        <v>0</v>
      </c>
      <c r="K812">
        <v>0</v>
      </c>
      <c r="L812">
        <v>0</v>
      </c>
      <c r="M812">
        <v>0</v>
      </c>
    </row>
    <row r="813" spans="1:13" x14ac:dyDescent="0.25">
      <c r="A813" t="s">
        <v>0</v>
      </c>
      <c r="C813" t="s">
        <v>884</v>
      </c>
      <c r="D813" t="s">
        <v>855</v>
      </c>
      <c r="E813" t="s">
        <v>855</v>
      </c>
      <c r="F813" s="4">
        <v>112000</v>
      </c>
      <c r="G813" s="4">
        <v>135000</v>
      </c>
      <c r="H813" s="4">
        <f t="shared" si="12"/>
        <v>123500</v>
      </c>
      <c r="I813">
        <v>0</v>
      </c>
      <c r="J813">
        <v>1</v>
      </c>
      <c r="K813">
        <v>0</v>
      </c>
      <c r="L813">
        <v>0</v>
      </c>
      <c r="M813">
        <v>0</v>
      </c>
    </row>
    <row r="814" spans="1:13" x14ac:dyDescent="0.25">
      <c r="A814" t="s">
        <v>0</v>
      </c>
      <c r="C814" t="s">
        <v>885</v>
      </c>
      <c r="D814" t="s">
        <v>855</v>
      </c>
      <c r="E814" t="s">
        <v>855</v>
      </c>
      <c r="F814" s="4">
        <v>111529.60000000001</v>
      </c>
      <c r="G814" s="4">
        <v>134326.39999999999</v>
      </c>
      <c r="H814" s="4">
        <f t="shared" si="12"/>
        <v>122928</v>
      </c>
      <c r="I814">
        <v>1</v>
      </c>
      <c r="J814">
        <v>1</v>
      </c>
      <c r="K814">
        <v>0</v>
      </c>
      <c r="L814">
        <v>0</v>
      </c>
      <c r="M814">
        <v>0</v>
      </c>
    </row>
    <row r="815" spans="1:13" x14ac:dyDescent="0.25">
      <c r="A815" t="s">
        <v>0</v>
      </c>
      <c r="B815" s="5">
        <v>3.5</v>
      </c>
      <c r="C815" t="s">
        <v>886</v>
      </c>
      <c r="D815" t="s">
        <v>855</v>
      </c>
      <c r="E815" t="s">
        <v>855</v>
      </c>
      <c r="F815" s="4">
        <v>110000</v>
      </c>
      <c r="G815" s="4">
        <v>110000</v>
      </c>
      <c r="H815" s="4">
        <f t="shared" si="12"/>
        <v>110000</v>
      </c>
      <c r="I815">
        <v>1</v>
      </c>
      <c r="J815">
        <v>1</v>
      </c>
      <c r="K815">
        <v>0</v>
      </c>
      <c r="L815">
        <v>0</v>
      </c>
      <c r="M815">
        <v>0</v>
      </c>
    </row>
    <row r="816" spans="1:13" x14ac:dyDescent="0.25">
      <c r="A816" t="s">
        <v>0</v>
      </c>
      <c r="C816" t="s">
        <v>887</v>
      </c>
      <c r="D816" t="s">
        <v>855</v>
      </c>
      <c r="E816" t="s">
        <v>855</v>
      </c>
      <c r="F816" s="4">
        <v>110000</v>
      </c>
      <c r="G816" s="4">
        <v>113000</v>
      </c>
      <c r="H816" s="4">
        <f t="shared" si="12"/>
        <v>111500</v>
      </c>
      <c r="I816">
        <v>0</v>
      </c>
      <c r="J816">
        <v>1</v>
      </c>
      <c r="K816">
        <v>0</v>
      </c>
      <c r="L816">
        <v>0</v>
      </c>
      <c r="M816">
        <v>0</v>
      </c>
    </row>
    <row r="817" spans="1:13" x14ac:dyDescent="0.25">
      <c r="A817" t="s">
        <v>354</v>
      </c>
      <c r="B817" s="5">
        <v>3.8</v>
      </c>
      <c r="C817" t="s">
        <v>888</v>
      </c>
      <c r="D817" t="s">
        <v>855</v>
      </c>
      <c r="E817" t="s">
        <v>855</v>
      </c>
      <c r="F817" s="4">
        <v>110000</v>
      </c>
      <c r="G817" s="4">
        <v>176000</v>
      </c>
      <c r="H817" s="4">
        <f t="shared" si="12"/>
        <v>143000</v>
      </c>
      <c r="I817">
        <v>0</v>
      </c>
      <c r="J817">
        <v>0</v>
      </c>
      <c r="K817">
        <v>0</v>
      </c>
      <c r="L817">
        <v>0</v>
      </c>
      <c r="M817">
        <v>0</v>
      </c>
    </row>
    <row r="818" spans="1:13" x14ac:dyDescent="0.25">
      <c r="A818" t="s">
        <v>889</v>
      </c>
      <c r="B818" s="5">
        <v>4.4000000000000004</v>
      </c>
      <c r="C818" t="s">
        <v>890</v>
      </c>
      <c r="D818" t="s">
        <v>855</v>
      </c>
      <c r="E818" t="s">
        <v>855</v>
      </c>
      <c r="F818" s="4">
        <v>110000</v>
      </c>
      <c r="G818" s="4">
        <v>170000</v>
      </c>
      <c r="H818" s="4">
        <f t="shared" si="12"/>
        <v>140000</v>
      </c>
      <c r="I818">
        <v>0</v>
      </c>
      <c r="J818">
        <v>0</v>
      </c>
      <c r="K818">
        <v>0</v>
      </c>
      <c r="L818">
        <v>0</v>
      </c>
      <c r="M818">
        <v>0</v>
      </c>
    </row>
    <row r="819" spans="1:13" x14ac:dyDescent="0.25">
      <c r="A819" t="s">
        <v>365</v>
      </c>
      <c r="B819" s="5">
        <v>3.4</v>
      </c>
      <c r="C819" t="s">
        <v>470</v>
      </c>
      <c r="D819" t="s">
        <v>855</v>
      </c>
      <c r="E819" t="s">
        <v>855</v>
      </c>
      <c r="F819" s="4">
        <v>107000</v>
      </c>
      <c r="G819" s="4">
        <v>107000</v>
      </c>
      <c r="H819" s="4">
        <f t="shared" si="12"/>
        <v>107000</v>
      </c>
      <c r="I819">
        <v>0</v>
      </c>
      <c r="J819">
        <v>0</v>
      </c>
      <c r="K819">
        <v>0</v>
      </c>
      <c r="L819">
        <v>0</v>
      </c>
      <c r="M819">
        <v>0</v>
      </c>
    </row>
    <row r="820" spans="1:13" x14ac:dyDescent="0.25">
      <c r="A820" t="s">
        <v>891</v>
      </c>
      <c r="B820" s="5">
        <v>3.7</v>
      </c>
      <c r="C820" t="s">
        <v>892</v>
      </c>
      <c r="D820" t="s">
        <v>855</v>
      </c>
      <c r="E820" t="s">
        <v>855</v>
      </c>
      <c r="F820" s="4">
        <v>106080</v>
      </c>
      <c r="G820" s="4">
        <v>108160</v>
      </c>
      <c r="H820" s="4">
        <f t="shared" si="12"/>
        <v>107120</v>
      </c>
      <c r="I820">
        <v>0</v>
      </c>
      <c r="J820">
        <v>0</v>
      </c>
      <c r="K820">
        <v>0</v>
      </c>
      <c r="L820">
        <v>0</v>
      </c>
      <c r="M820">
        <v>0</v>
      </c>
    </row>
    <row r="821" spans="1:13" x14ac:dyDescent="0.25">
      <c r="A821" t="s">
        <v>893</v>
      </c>
      <c r="B821" s="5">
        <v>3.7</v>
      </c>
      <c r="C821" t="s">
        <v>892</v>
      </c>
      <c r="D821" t="s">
        <v>855</v>
      </c>
      <c r="E821" t="s">
        <v>855</v>
      </c>
      <c r="F821" s="4">
        <v>106080</v>
      </c>
      <c r="G821" s="4">
        <v>108160</v>
      </c>
      <c r="H821" s="4">
        <f t="shared" si="12"/>
        <v>107120</v>
      </c>
      <c r="I821">
        <v>0</v>
      </c>
      <c r="J821">
        <v>0</v>
      </c>
      <c r="K821">
        <v>0</v>
      </c>
      <c r="L821">
        <v>0</v>
      </c>
      <c r="M821">
        <v>0</v>
      </c>
    </row>
    <row r="822" spans="1:13" x14ac:dyDescent="0.25">
      <c r="A822" t="s">
        <v>0</v>
      </c>
      <c r="B822" s="5">
        <v>2.9</v>
      </c>
      <c r="C822" t="s">
        <v>894</v>
      </c>
      <c r="D822" t="s">
        <v>855</v>
      </c>
      <c r="E822" t="s">
        <v>855</v>
      </c>
      <c r="F822" s="4">
        <v>106000</v>
      </c>
      <c r="G822" s="4">
        <v>130000</v>
      </c>
      <c r="H822" s="4">
        <f t="shared" si="12"/>
        <v>118000</v>
      </c>
      <c r="I822">
        <v>0</v>
      </c>
      <c r="J822">
        <v>0</v>
      </c>
      <c r="K822">
        <v>0</v>
      </c>
      <c r="L822">
        <v>0</v>
      </c>
      <c r="M822">
        <v>0</v>
      </c>
    </row>
    <row r="823" spans="1:13" x14ac:dyDescent="0.25">
      <c r="A823" t="s">
        <v>895</v>
      </c>
      <c r="B823" s="5">
        <v>4.3</v>
      </c>
      <c r="C823" t="s">
        <v>896</v>
      </c>
      <c r="D823" t="s">
        <v>855</v>
      </c>
      <c r="E823" t="s">
        <v>855</v>
      </c>
      <c r="F823" s="4">
        <v>105000</v>
      </c>
      <c r="G823" s="4">
        <v>195000</v>
      </c>
      <c r="H823" s="4">
        <f t="shared" si="12"/>
        <v>150000</v>
      </c>
      <c r="I823">
        <v>0</v>
      </c>
      <c r="J823">
        <v>0</v>
      </c>
      <c r="K823">
        <v>0</v>
      </c>
      <c r="L823">
        <v>0</v>
      </c>
      <c r="M823">
        <v>0</v>
      </c>
    </row>
    <row r="824" spans="1:13" x14ac:dyDescent="0.25">
      <c r="A824" t="s">
        <v>0</v>
      </c>
      <c r="B824" s="5">
        <v>3.4</v>
      </c>
      <c r="C824" t="s">
        <v>897</v>
      </c>
      <c r="D824" t="s">
        <v>855</v>
      </c>
      <c r="E824" t="s">
        <v>855</v>
      </c>
      <c r="F824" s="4">
        <v>104000</v>
      </c>
      <c r="G824" s="4">
        <v>135200</v>
      </c>
      <c r="H824" s="4">
        <f t="shared" si="12"/>
        <v>119600</v>
      </c>
      <c r="I824">
        <v>0</v>
      </c>
      <c r="J824">
        <v>1</v>
      </c>
      <c r="K824">
        <v>0</v>
      </c>
      <c r="L824">
        <v>0</v>
      </c>
      <c r="M824">
        <v>0</v>
      </c>
    </row>
    <row r="825" spans="1:13" x14ac:dyDescent="0.25">
      <c r="A825" t="s">
        <v>678</v>
      </c>
      <c r="B825" s="5">
        <v>3.6</v>
      </c>
      <c r="C825" t="s">
        <v>898</v>
      </c>
      <c r="D825" t="s">
        <v>855</v>
      </c>
      <c r="E825" t="s">
        <v>855</v>
      </c>
      <c r="F825" s="4">
        <v>102000</v>
      </c>
      <c r="G825" s="4">
        <v>152000</v>
      </c>
      <c r="H825" s="4">
        <f t="shared" si="12"/>
        <v>127000</v>
      </c>
      <c r="I825">
        <v>0</v>
      </c>
      <c r="J825">
        <v>0</v>
      </c>
      <c r="K825">
        <v>0</v>
      </c>
      <c r="L825">
        <v>0</v>
      </c>
      <c r="M825">
        <v>0</v>
      </c>
    </row>
    <row r="826" spans="1:13" x14ac:dyDescent="0.25">
      <c r="A826" t="s">
        <v>0</v>
      </c>
      <c r="C826" t="s">
        <v>899</v>
      </c>
      <c r="D826" t="s">
        <v>855</v>
      </c>
      <c r="E826" t="s">
        <v>855</v>
      </c>
      <c r="F826" s="4">
        <v>100000</v>
      </c>
      <c r="G826" s="4">
        <v>130000</v>
      </c>
      <c r="H826" s="4">
        <f t="shared" si="12"/>
        <v>115000</v>
      </c>
      <c r="I826">
        <v>0</v>
      </c>
      <c r="J826">
        <v>0</v>
      </c>
      <c r="K826">
        <v>0</v>
      </c>
      <c r="L826">
        <v>0</v>
      </c>
      <c r="M826">
        <v>0</v>
      </c>
    </row>
    <row r="827" spans="1:13" x14ac:dyDescent="0.25">
      <c r="A827" t="s">
        <v>900</v>
      </c>
      <c r="C827" t="s">
        <v>901</v>
      </c>
      <c r="D827" t="s">
        <v>855</v>
      </c>
      <c r="E827" t="s">
        <v>855</v>
      </c>
      <c r="F827" s="4">
        <v>100000</v>
      </c>
      <c r="G827" s="4">
        <v>100000</v>
      </c>
      <c r="H827" s="4">
        <f t="shared" si="12"/>
        <v>100000</v>
      </c>
      <c r="I827">
        <v>0</v>
      </c>
      <c r="J827">
        <v>0</v>
      </c>
      <c r="K827">
        <v>0</v>
      </c>
      <c r="L827">
        <v>0</v>
      </c>
      <c r="M827">
        <v>0</v>
      </c>
    </row>
    <row r="828" spans="1:13" x14ac:dyDescent="0.25">
      <c r="A828" t="s">
        <v>902</v>
      </c>
      <c r="B828" s="5">
        <v>4.0999999999999996</v>
      </c>
      <c r="C828" t="s">
        <v>903</v>
      </c>
      <c r="D828" t="s">
        <v>855</v>
      </c>
      <c r="E828" t="s">
        <v>855</v>
      </c>
      <c r="F828" s="4">
        <v>100000</v>
      </c>
      <c r="G828" s="4">
        <v>120000</v>
      </c>
      <c r="H828" s="4">
        <f t="shared" si="12"/>
        <v>110000</v>
      </c>
      <c r="I828">
        <v>0</v>
      </c>
      <c r="J828">
        <v>0</v>
      </c>
      <c r="K828">
        <v>0</v>
      </c>
      <c r="L828">
        <v>0</v>
      </c>
      <c r="M828">
        <v>0</v>
      </c>
    </row>
    <row r="829" spans="1:13" x14ac:dyDescent="0.25">
      <c r="A829" t="s">
        <v>904</v>
      </c>
      <c r="B829" s="5">
        <v>3.8</v>
      </c>
      <c r="C829" t="s">
        <v>905</v>
      </c>
      <c r="D829" t="s">
        <v>855</v>
      </c>
      <c r="E829" t="s">
        <v>855</v>
      </c>
      <c r="F829" s="4">
        <v>100000</v>
      </c>
      <c r="G829" s="4">
        <v>100000</v>
      </c>
      <c r="H829" s="4">
        <f t="shared" si="12"/>
        <v>100000</v>
      </c>
      <c r="I829">
        <v>0</v>
      </c>
      <c r="J829">
        <v>0</v>
      </c>
      <c r="K829">
        <v>0</v>
      </c>
      <c r="L829">
        <v>0</v>
      </c>
      <c r="M829">
        <v>0</v>
      </c>
    </row>
    <row r="830" spans="1:13" x14ac:dyDescent="0.25">
      <c r="A830" t="s">
        <v>906</v>
      </c>
      <c r="B830" s="5">
        <v>3</v>
      </c>
      <c r="C830" t="s">
        <v>206</v>
      </c>
      <c r="D830" t="s">
        <v>855</v>
      </c>
      <c r="E830" t="s">
        <v>855</v>
      </c>
      <c r="F830" s="4">
        <v>100000</v>
      </c>
      <c r="G830" s="4">
        <v>120000</v>
      </c>
      <c r="H830" s="4">
        <f t="shared" si="12"/>
        <v>110000</v>
      </c>
      <c r="I830">
        <v>0</v>
      </c>
      <c r="J830">
        <v>0</v>
      </c>
      <c r="K830">
        <v>0</v>
      </c>
      <c r="L830">
        <v>0</v>
      </c>
      <c r="M830">
        <v>0</v>
      </c>
    </row>
    <row r="831" spans="1:13" x14ac:dyDescent="0.25">
      <c r="A831" t="s">
        <v>907</v>
      </c>
      <c r="B831" s="5">
        <v>3.3</v>
      </c>
      <c r="C831" t="s">
        <v>908</v>
      </c>
      <c r="D831" t="s">
        <v>855</v>
      </c>
      <c r="E831" t="s">
        <v>855</v>
      </c>
      <c r="F831" s="4">
        <v>100000</v>
      </c>
      <c r="G831" s="4">
        <v>120000</v>
      </c>
      <c r="H831" s="4">
        <f t="shared" si="12"/>
        <v>110000</v>
      </c>
      <c r="I831">
        <v>0</v>
      </c>
      <c r="J831">
        <v>1</v>
      </c>
      <c r="K831">
        <v>0</v>
      </c>
      <c r="L831">
        <v>0</v>
      </c>
      <c r="M831">
        <v>0</v>
      </c>
    </row>
    <row r="832" spans="1:13" x14ac:dyDescent="0.25">
      <c r="A832" t="s">
        <v>0</v>
      </c>
      <c r="B832" s="5">
        <v>3.4</v>
      </c>
      <c r="C832" t="s">
        <v>470</v>
      </c>
      <c r="D832" t="s">
        <v>855</v>
      </c>
      <c r="E832" t="s">
        <v>855</v>
      </c>
      <c r="F832" s="4">
        <v>85000</v>
      </c>
      <c r="G832" s="4">
        <v>85000</v>
      </c>
      <c r="H832" s="4">
        <f t="shared" si="12"/>
        <v>85000</v>
      </c>
      <c r="I832">
        <v>0</v>
      </c>
      <c r="J832">
        <v>0</v>
      </c>
      <c r="K832">
        <v>0</v>
      </c>
      <c r="L832">
        <v>0</v>
      </c>
      <c r="M832">
        <v>0</v>
      </c>
    </row>
    <row r="833" spans="1:13" x14ac:dyDescent="0.25">
      <c r="A833" t="s">
        <v>909</v>
      </c>
      <c r="B833" s="5">
        <v>3.9</v>
      </c>
      <c r="C833" t="s">
        <v>604</v>
      </c>
      <c r="D833" t="s">
        <v>855</v>
      </c>
      <c r="E833" t="s">
        <v>855</v>
      </c>
      <c r="F833" s="4">
        <v>82000</v>
      </c>
      <c r="G833" s="4">
        <v>143000</v>
      </c>
      <c r="H833" s="4">
        <f t="shared" si="12"/>
        <v>112500</v>
      </c>
      <c r="I833">
        <v>0</v>
      </c>
      <c r="J833">
        <v>0</v>
      </c>
      <c r="K833">
        <v>0</v>
      </c>
      <c r="L833">
        <v>0</v>
      </c>
      <c r="M833">
        <v>0</v>
      </c>
    </row>
    <row r="834" spans="1:13" x14ac:dyDescent="0.25">
      <c r="A834" t="s">
        <v>910</v>
      </c>
      <c r="B834" s="5">
        <v>3.9</v>
      </c>
      <c r="C834" t="s">
        <v>604</v>
      </c>
      <c r="D834" t="s">
        <v>855</v>
      </c>
      <c r="E834" t="s">
        <v>855</v>
      </c>
      <c r="F834" s="4">
        <v>82000</v>
      </c>
      <c r="G834" s="4">
        <v>143000</v>
      </c>
      <c r="H834" s="4">
        <f t="shared" si="12"/>
        <v>112500</v>
      </c>
      <c r="I834">
        <v>0</v>
      </c>
      <c r="J834">
        <v>0</v>
      </c>
      <c r="K834">
        <v>0</v>
      </c>
      <c r="L834">
        <v>0</v>
      </c>
      <c r="M834">
        <v>0</v>
      </c>
    </row>
    <row r="835" spans="1:13" x14ac:dyDescent="0.25">
      <c r="A835" t="s">
        <v>910</v>
      </c>
      <c r="B835" s="5">
        <v>3.9</v>
      </c>
      <c r="C835" t="s">
        <v>604</v>
      </c>
      <c r="D835" t="s">
        <v>855</v>
      </c>
      <c r="E835" t="s">
        <v>855</v>
      </c>
      <c r="F835" s="4">
        <v>82000</v>
      </c>
      <c r="G835" s="4">
        <v>143000</v>
      </c>
      <c r="H835" s="4">
        <f t="shared" ref="H835:H898" si="13">(F835+G835)/2</f>
        <v>112500</v>
      </c>
      <c r="I835">
        <v>0</v>
      </c>
      <c r="J835">
        <v>0</v>
      </c>
      <c r="K835">
        <v>0</v>
      </c>
      <c r="L835">
        <v>0</v>
      </c>
      <c r="M835">
        <v>0</v>
      </c>
    </row>
    <row r="836" spans="1:13" x14ac:dyDescent="0.25">
      <c r="A836" t="s">
        <v>910</v>
      </c>
      <c r="B836" s="5">
        <v>3.9</v>
      </c>
      <c r="C836" t="s">
        <v>604</v>
      </c>
      <c r="D836" t="s">
        <v>855</v>
      </c>
      <c r="E836" t="s">
        <v>855</v>
      </c>
      <c r="F836" s="4">
        <v>82000</v>
      </c>
      <c r="G836" s="4">
        <v>143000</v>
      </c>
      <c r="H836" s="4">
        <f t="shared" si="13"/>
        <v>112500</v>
      </c>
      <c r="I836">
        <v>0</v>
      </c>
      <c r="J836">
        <v>0</v>
      </c>
      <c r="K836">
        <v>0</v>
      </c>
      <c r="L836">
        <v>0</v>
      </c>
      <c r="M836">
        <v>0</v>
      </c>
    </row>
    <row r="837" spans="1:13" x14ac:dyDescent="0.25">
      <c r="A837" t="s">
        <v>910</v>
      </c>
      <c r="B837" s="5">
        <v>3.9</v>
      </c>
      <c r="C837" t="s">
        <v>604</v>
      </c>
      <c r="D837" t="s">
        <v>855</v>
      </c>
      <c r="E837" t="s">
        <v>855</v>
      </c>
      <c r="F837" s="4">
        <v>82000</v>
      </c>
      <c r="G837" s="4">
        <v>143000</v>
      </c>
      <c r="H837" s="4">
        <f t="shared" si="13"/>
        <v>112500</v>
      </c>
      <c r="I837">
        <v>0</v>
      </c>
      <c r="J837">
        <v>0</v>
      </c>
      <c r="K837">
        <v>0</v>
      </c>
      <c r="L837">
        <v>0</v>
      </c>
      <c r="M837">
        <v>0</v>
      </c>
    </row>
    <row r="838" spans="1:13" x14ac:dyDescent="0.25">
      <c r="A838" t="s">
        <v>910</v>
      </c>
      <c r="B838" s="5">
        <v>3.7</v>
      </c>
      <c r="C838" t="s">
        <v>604</v>
      </c>
      <c r="D838" t="s">
        <v>855</v>
      </c>
      <c r="E838" t="s">
        <v>855</v>
      </c>
      <c r="F838" s="4">
        <v>82000</v>
      </c>
      <c r="G838" s="4">
        <v>143000</v>
      </c>
      <c r="H838" s="4">
        <f t="shared" si="13"/>
        <v>112500</v>
      </c>
      <c r="I838">
        <v>0</v>
      </c>
      <c r="J838">
        <v>0</v>
      </c>
      <c r="K838">
        <v>0</v>
      </c>
      <c r="L838">
        <v>0</v>
      </c>
      <c r="M838">
        <v>0</v>
      </c>
    </row>
    <row r="839" spans="1:13" x14ac:dyDescent="0.25">
      <c r="A839" t="s">
        <v>910</v>
      </c>
      <c r="B839" s="5">
        <v>3.9</v>
      </c>
      <c r="C839" t="s">
        <v>604</v>
      </c>
      <c r="D839" t="s">
        <v>855</v>
      </c>
      <c r="E839" t="s">
        <v>855</v>
      </c>
      <c r="F839" s="4">
        <v>82000</v>
      </c>
      <c r="G839" s="4">
        <v>143000</v>
      </c>
      <c r="H839" s="4">
        <f t="shared" si="13"/>
        <v>112500</v>
      </c>
      <c r="I839">
        <v>0</v>
      </c>
      <c r="J839">
        <v>0</v>
      </c>
      <c r="K839">
        <v>0</v>
      </c>
      <c r="L839">
        <v>0</v>
      </c>
      <c r="M839">
        <v>0</v>
      </c>
    </row>
    <row r="840" spans="1:13" x14ac:dyDescent="0.25">
      <c r="A840" t="s">
        <v>910</v>
      </c>
      <c r="B840" s="5">
        <v>3.9</v>
      </c>
      <c r="C840" t="s">
        <v>604</v>
      </c>
      <c r="D840" t="s">
        <v>855</v>
      </c>
      <c r="E840" t="s">
        <v>855</v>
      </c>
      <c r="F840" s="4">
        <v>82000</v>
      </c>
      <c r="G840" s="4">
        <v>143000</v>
      </c>
      <c r="H840" s="4">
        <f t="shared" si="13"/>
        <v>112500</v>
      </c>
      <c r="I840">
        <v>0</v>
      </c>
      <c r="J840">
        <v>0</v>
      </c>
      <c r="K840">
        <v>0</v>
      </c>
      <c r="L840">
        <v>0</v>
      </c>
      <c r="M840">
        <v>0</v>
      </c>
    </row>
    <row r="841" spans="1:13" x14ac:dyDescent="0.25">
      <c r="A841" t="s">
        <v>910</v>
      </c>
      <c r="B841" s="5">
        <v>3.9</v>
      </c>
      <c r="C841" t="s">
        <v>604</v>
      </c>
      <c r="D841" t="s">
        <v>855</v>
      </c>
      <c r="E841" t="s">
        <v>855</v>
      </c>
      <c r="F841" s="4">
        <v>82000</v>
      </c>
      <c r="G841" s="4">
        <v>143000</v>
      </c>
      <c r="H841" s="4">
        <f t="shared" si="13"/>
        <v>112500</v>
      </c>
      <c r="I841">
        <v>0</v>
      </c>
      <c r="J841">
        <v>0</v>
      </c>
      <c r="K841">
        <v>0</v>
      </c>
      <c r="L841">
        <v>0</v>
      </c>
      <c r="M841">
        <v>0</v>
      </c>
    </row>
    <row r="842" spans="1:13" x14ac:dyDescent="0.25">
      <c r="A842" t="s">
        <v>910</v>
      </c>
      <c r="B842" s="5">
        <v>3.9</v>
      </c>
      <c r="C842" t="s">
        <v>604</v>
      </c>
      <c r="D842" t="s">
        <v>855</v>
      </c>
      <c r="E842" t="s">
        <v>855</v>
      </c>
      <c r="F842" s="4">
        <v>82000</v>
      </c>
      <c r="G842" s="4">
        <v>143000</v>
      </c>
      <c r="H842" s="4">
        <f t="shared" si="13"/>
        <v>112500</v>
      </c>
      <c r="I842">
        <v>0</v>
      </c>
      <c r="J842">
        <v>0</v>
      </c>
      <c r="K842">
        <v>0</v>
      </c>
      <c r="L842">
        <v>0</v>
      </c>
      <c r="M842">
        <v>0</v>
      </c>
    </row>
    <row r="843" spans="1:13" x14ac:dyDescent="0.25">
      <c r="A843" t="s">
        <v>910</v>
      </c>
      <c r="B843" s="5">
        <v>3.9</v>
      </c>
      <c r="C843" t="s">
        <v>604</v>
      </c>
      <c r="D843" t="s">
        <v>855</v>
      </c>
      <c r="E843" t="s">
        <v>855</v>
      </c>
      <c r="F843" s="4">
        <v>82000</v>
      </c>
      <c r="G843" s="4">
        <v>143000</v>
      </c>
      <c r="H843" s="4">
        <f t="shared" si="13"/>
        <v>112500</v>
      </c>
      <c r="I843">
        <v>0</v>
      </c>
      <c r="J843">
        <v>0</v>
      </c>
      <c r="K843">
        <v>0</v>
      </c>
      <c r="L843">
        <v>0</v>
      </c>
      <c r="M843">
        <v>0</v>
      </c>
    </row>
    <row r="844" spans="1:13" x14ac:dyDescent="0.25">
      <c r="A844" t="s">
        <v>910</v>
      </c>
      <c r="B844" s="5">
        <v>3.9</v>
      </c>
      <c r="C844" t="s">
        <v>604</v>
      </c>
      <c r="D844" t="s">
        <v>855</v>
      </c>
      <c r="E844" t="s">
        <v>855</v>
      </c>
      <c r="F844" s="4">
        <v>82000</v>
      </c>
      <c r="G844" s="4">
        <v>143000</v>
      </c>
      <c r="H844" s="4">
        <f t="shared" si="13"/>
        <v>112500</v>
      </c>
      <c r="I844">
        <v>0</v>
      </c>
      <c r="J844">
        <v>0</v>
      </c>
      <c r="K844">
        <v>0</v>
      </c>
      <c r="L844">
        <v>0</v>
      </c>
      <c r="M844">
        <v>0</v>
      </c>
    </row>
    <row r="845" spans="1:13" x14ac:dyDescent="0.25">
      <c r="A845" t="s">
        <v>910</v>
      </c>
      <c r="B845" s="5">
        <v>3.9</v>
      </c>
      <c r="C845" t="s">
        <v>604</v>
      </c>
      <c r="D845" t="s">
        <v>855</v>
      </c>
      <c r="E845" t="s">
        <v>855</v>
      </c>
      <c r="F845" s="4">
        <v>82000</v>
      </c>
      <c r="G845" s="4">
        <v>143000</v>
      </c>
      <c r="H845" s="4">
        <f t="shared" si="13"/>
        <v>112500</v>
      </c>
      <c r="I845">
        <v>0</v>
      </c>
      <c r="J845">
        <v>0</v>
      </c>
      <c r="K845">
        <v>0</v>
      </c>
      <c r="L845">
        <v>0</v>
      </c>
      <c r="M845">
        <v>0</v>
      </c>
    </row>
    <row r="846" spans="1:13" x14ac:dyDescent="0.25">
      <c r="A846" t="s">
        <v>910</v>
      </c>
      <c r="B846" s="5">
        <v>3.9</v>
      </c>
      <c r="C846" t="s">
        <v>604</v>
      </c>
      <c r="D846" t="s">
        <v>855</v>
      </c>
      <c r="E846" t="s">
        <v>855</v>
      </c>
      <c r="F846" s="4">
        <v>82000</v>
      </c>
      <c r="G846" s="4">
        <v>143000</v>
      </c>
      <c r="H846" s="4">
        <f t="shared" si="13"/>
        <v>112500</v>
      </c>
      <c r="I846">
        <v>0</v>
      </c>
      <c r="J846">
        <v>0</v>
      </c>
      <c r="K846">
        <v>0</v>
      </c>
      <c r="L846">
        <v>0</v>
      </c>
      <c r="M846">
        <v>0</v>
      </c>
    </row>
    <row r="847" spans="1:13" x14ac:dyDescent="0.25">
      <c r="A847" t="s">
        <v>910</v>
      </c>
      <c r="B847" s="5">
        <v>3.9</v>
      </c>
      <c r="C847" t="s">
        <v>604</v>
      </c>
      <c r="D847" t="s">
        <v>855</v>
      </c>
      <c r="E847" t="s">
        <v>855</v>
      </c>
      <c r="F847" s="4">
        <v>82000</v>
      </c>
      <c r="G847" s="4">
        <v>143000</v>
      </c>
      <c r="H847" s="4">
        <f t="shared" si="13"/>
        <v>112500</v>
      </c>
      <c r="I847">
        <v>0</v>
      </c>
      <c r="J847">
        <v>0</v>
      </c>
      <c r="K847">
        <v>0</v>
      </c>
      <c r="L847">
        <v>0</v>
      </c>
      <c r="M847">
        <v>0</v>
      </c>
    </row>
    <row r="848" spans="1:13" x14ac:dyDescent="0.25">
      <c r="A848" t="s">
        <v>910</v>
      </c>
      <c r="B848" s="5">
        <v>3.9</v>
      </c>
      <c r="C848" t="s">
        <v>604</v>
      </c>
      <c r="D848" t="s">
        <v>855</v>
      </c>
      <c r="E848" t="s">
        <v>855</v>
      </c>
      <c r="F848" s="4">
        <v>82000</v>
      </c>
      <c r="G848" s="4">
        <v>143000</v>
      </c>
      <c r="H848" s="4">
        <f t="shared" si="13"/>
        <v>112500</v>
      </c>
      <c r="I848">
        <v>0</v>
      </c>
      <c r="J848">
        <v>0</v>
      </c>
      <c r="K848">
        <v>0</v>
      </c>
      <c r="L848">
        <v>0</v>
      </c>
      <c r="M848">
        <v>0</v>
      </c>
    </row>
    <row r="849" spans="1:13" x14ac:dyDescent="0.25">
      <c r="A849" t="s">
        <v>910</v>
      </c>
      <c r="B849" s="5">
        <v>3.9</v>
      </c>
      <c r="C849" t="s">
        <v>604</v>
      </c>
      <c r="D849" t="s">
        <v>855</v>
      </c>
      <c r="E849" t="s">
        <v>855</v>
      </c>
      <c r="F849" s="4">
        <v>82000</v>
      </c>
      <c r="G849" s="4">
        <v>143000</v>
      </c>
      <c r="H849" s="4">
        <f t="shared" si="13"/>
        <v>112500</v>
      </c>
      <c r="I849">
        <v>0</v>
      </c>
      <c r="J849">
        <v>0</v>
      </c>
      <c r="K849">
        <v>0</v>
      </c>
      <c r="L849">
        <v>0</v>
      </c>
      <c r="M849">
        <v>0</v>
      </c>
    </row>
    <row r="850" spans="1:13" x14ac:dyDescent="0.25">
      <c r="A850" t="s">
        <v>910</v>
      </c>
      <c r="B850" s="5">
        <v>3.9</v>
      </c>
      <c r="C850" t="s">
        <v>604</v>
      </c>
      <c r="D850" t="s">
        <v>855</v>
      </c>
      <c r="E850" t="s">
        <v>855</v>
      </c>
      <c r="F850" s="4">
        <v>82000</v>
      </c>
      <c r="G850" s="4">
        <v>143000</v>
      </c>
      <c r="H850" s="4">
        <f t="shared" si="13"/>
        <v>112500</v>
      </c>
      <c r="I850">
        <v>0</v>
      </c>
      <c r="J850">
        <v>0</v>
      </c>
      <c r="K850">
        <v>0</v>
      </c>
      <c r="L850">
        <v>0</v>
      </c>
      <c r="M850">
        <v>0</v>
      </c>
    </row>
    <row r="851" spans="1:13" x14ac:dyDescent="0.25">
      <c r="A851" t="s">
        <v>910</v>
      </c>
      <c r="B851" s="5">
        <v>3.9</v>
      </c>
      <c r="C851" t="s">
        <v>604</v>
      </c>
      <c r="D851" t="s">
        <v>855</v>
      </c>
      <c r="E851" t="s">
        <v>855</v>
      </c>
      <c r="F851" s="4">
        <v>82000</v>
      </c>
      <c r="G851" s="4">
        <v>143000</v>
      </c>
      <c r="H851" s="4">
        <f t="shared" si="13"/>
        <v>112500</v>
      </c>
      <c r="I851">
        <v>0</v>
      </c>
      <c r="J851">
        <v>0</v>
      </c>
      <c r="K851">
        <v>0</v>
      </c>
      <c r="L851">
        <v>0</v>
      </c>
      <c r="M851">
        <v>0</v>
      </c>
    </row>
    <row r="852" spans="1:13" x14ac:dyDescent="0.25">
      <c r="A852" t="s">
        <v>910</v>
      </c>
      <c r="B852" s="5">
        <v>3.9</v>
      </c>
      <c r="C852" t="s">
        <v>604</v>
      </c>
      <c r="D852" t="s">
        <v>855</v>
      </c>
      <c r="E852" t="s">
        <v>855</v>
      </c>
      <c r="F852" s="4">
        <v>82000</v>
      </c>
      <c r="G852" s="4">
        <v>143000</v>
      </c>
      <c r="H852" s="4">
        <f t="shared" si="13"/>
        <v>112500</v>
      </c>
      <c r="I852">
        <v>0</v>
      </c>
      <c r="J852">
        <v>0</v>
      </c>
      <c r="K852">
        <v>0</v>
      </c>
      <c r="L852">
        <v>0</v>
      </c>
      <c r="M852">
        <v>0</v>
      </c>
    </row>
    <row r="853" spans="1:13" x14ac:dyDescent="0.25">
      <c r="A853" t="s">
        <v>0</v>
      </c>
      <c r="B853" s="5">
        <v>4.3</v>
      </c>
      <c r="C853" t="s">
        <v>911</v>
      </c>
      <c r="D853" t="s">
        <v>855</v>
      </c>
      <c r="E853" t="s">
        <v>855</v>
      </c>
      <c r="F853" s="4">
        <v>81000</v>
      </c>
      <c r="G853" s="4">
        <v>176000</v>
      </c>
      <c r="H853" s="4">
        <f t="shared" si="13"/>
        <v>128500</v>
      </c>
      <c r="I853">
        <v>0</v>
      </c>
      <c r="J853">
        <v>0</v>
      </c>
      <c r="K853">
        <v>0</v>
      </c>
      <c r="L853">
        <v>0</v>
      </c>
      <c r="M853">
        <v>0</v>
      </c>
    </row>
    <row r="854" spans="1:13" x14ac:dyDescent="0.25">
      <c r="A854" t="s">
        <v>912</v>
      </c>
      <c r="B854" s="5">
        <v>3</v>
      </c>
      <c r="C854" t="s">
        <v>913</v>
      </c>
      <c r="D854" t="s">
        <v>855</v>
      </c>
      <c r="E854" t="s">
        <v>855</v>
      </c>
      <c r="F854" s="4">
        <v>79000</v>
      </c>
      <c r="G854" s="4">
        <v>120000</v>
      </c>
      <c r="H854" s="4">
        <f t="shared" si="13"/>
        <v>99500</v>
      </c>
      <c r="I854">
        <v>0</v>
      </c>
      <c r="J854">
        <v>0</v>
      </c>
      <c r="K854">
        <v>0</v>
      </c>
      <c r="L854">
        <v>0</v>
      </c>
      <c r="M854">
        <v>0</v>
      </c>
    </row>
    <row r="855" spans="1:13" x14ac:dyDescent="0.25">
      <c r="A855" t="s">
        <v>912</v>
      </c>
      <c r="B855" s="5">
        <v>3</v>
      </c>
      <c r="C855" t="s">
        <v>913</v>
      </c>
      <c r="D855" t="s">
        <v>855</v>
      </c>
      <c r="E855" t="s">
        <v>855</v>
      </c>
      <c r="F855" s="4">
        <v>79000</v>
      </c>
      <c r="G855" s="4">
        <v>120000</v>
      </c>
      <c r="H855" s="4">
        <f t="shared" si="13"/>
        <v>99500</v>
      </c>
      <c r="I855">
        <v>0</v>
      </c>
      <c r="J855">
        <v>0</v>
      </c>
      <c r="K855">
        <v>0</v>
      </c>
      <c r="L855">
        <v>0</v>
      </c>
      <c r="M855">
        <v>0</v>
      </c>
    </row>
    <row r="856" spans="1:13" x14ac:dyDescent="0.25">
      <c r="A856" t="s">
        <v>912</v>
      </c>
      <c r="B856" s="5">
        <v>3</v>
      </c>
      <c r="C856" t="s">
        <v>913</v>
      </c>
      <c r="D856" t="s">
        <v>855</v>
      </c>
      <c r="E856" t="s">
        <v>855</v>
      </c>
      <c r="F856" s="4">
        <v>79000</v>
      </c>
      <c r="G856" s="4">
        <v>120000</v>
      </c>
      <c r="H856" s="4">
        <f t="shared" si="13"/>
        <v>99500</v>
      </c>
      <c r="I856">
        <v>0</v>
      </c>
      <c r="J856">
        <v>0</v>
      </c>
      <c r="K856">
        <v>0</v>
      </c>
      <c r="L856">
        <v>0</v>
      </c>
      <c r="M856">
        <v>0</v>
      </c>
    </row>
    <row r="857" spans="1:13" x14ac:dyDescent="0.25">
      <c r="A857" t="s">
        <v>912</v>
      </c>
      <c r="B857" s="5">
        <v>3</v>
      </c>
      <c r="C857" t="s">
        <v>913</v>
      </c>
      <c r="D857" t="s">
        <v>855</v>
      </c>
      <c r="E857" t="s">
        <v>855</v>
      </c>
      <c r="F857" s="4">
        <v>79000</v>
      </c>
      <c r="G857" s="4">
        <v>120000</v>
      </c>
      <c r="H857" s="4">
        <f t="shared" si="13"/>
        <v>99500</v>
      </c>
      <c r="I857">
        <v>0</v>
      </c>
      <c r="J857">
        <v>0</v>
      </c>
      <c r="K857">
        <v>0</v>
      </c>
      <c r="L857">
        <v>0</v>
      </c>
      <c r="M857">
        <v>0</v>
      </c>
    </row>
    <row r="858" spans="1:13" x14ac:dyDescent="0.25">
      <c r="A858" t="s">
        <v>912</v>
      </c>
      <c r="B858" s="5">
        <v>3</v>
      </c>
      <c r="C858" t="s">
        <v>913</v>
      </c>
      <c r="D858" t="s">
        <v>855</v>
      </c>
      <c r="E858" t="s">
        <v>855</v>
      </c>
      <c r="F858" s="4">
        <v>79000</v>
      </c>
      <c r="G858" s="4">
        <v>120000</v>
      </c>
      <c r="H858" s="4">
        <f t="shared" si="13"/>
        <v>99500</v>
      </c>
      <c r="I858">
        <v>0</v>
      </c>
      <c r="J858">
        <v>0</v>
      </c>
      <c r="K858">
        <v>0</v>
      </c>
      <c r="L858">
        <v>0</v>
      </c>
      <c r="M858">
        <v>0</v>
      </c>
    </row>
    <row r="859" spans="1:13" x14ac:dyDescent="0.25">
      <c r="A859" t="s">
        <v>912</v>
      </c>
      <c r="B859" s="5">
        <v>3</v>
      </c>
      <c r="C859" t="s">
        <v>913</v>
      </c>
      <c r="D859" t="s">
        <v>855</v>
      </c>
      <c r="E859" t="s">
        <v>855</v>
      </c>
      <c r="F859" s="4">
        <v>79000</v>
      </c>
      <c r="G859" s="4">
        <v>120000</v>
      </c>
      <c r="H859" s="4">
        <f t="shared" si="13"/>
        <v>99500</v>
      </c>
      <c r="I859">
        <v>0</v>
      </c>
      <c r="J859">
        <v>0</v>
      </c>
      <c r="K859">
        <v>0</v>
      </c>
      <c r="L859">
        <v>0</v>
      </c>
      <c r="M859">
        <v>0</v>
      </c>
    </row>
    <row r="860" spans="1:13" x14ac:dyDescent="0.25">
      <c r="A860" t="s">
        <v>912</v>
      </c>
      <c r="B860" s="5">
        <v>3</v>
      </c>
      <c r="C860" t="s">
        <v>913</v>
      </c>
      <c r="D860" t="s">
        <v>855</v>
      </c>
      <c r="E860" t="s">
        <v>855</v>
      </c>
      <c r="F860" s="4">
        <v>79000</v>
      </c>
      <c r="G860" s="4">
        <v>120000</v>
      </c>
      <c r="H860" s="4">
        <f t="shared" si="13"/>
        <v>99500</v>
      </c>
      <c r="I860">
        <v>0</v>
      </c>
      <c r="J860">
        <v>0</v>
      </c>
      <c r="K860">
        <v>0</v>
      </c>
      <c r="L860">
        <v>0</v>
      </c>
      <c r="M860">
        <v>0</v>
      </c>
    </row>
    <row r="861" spans="1:13" x14ac:dyDescent="0.25">
      <c r="A861" t="s">
        <v>912</v>
      </c>
      <c r="B861" s="5">
        <v>3</v>
      </c>
      <c r="C861" t="s">
        <v>913</v>
      </c>
      <c r="D861" t="s">
        <v>855</v>
      </c>
      <c r="E861" t="s">
        <v>855</v>
      </c>
      <c r="F861" s="4">
        <v>79000</v>
      </c>
      <c r="G861" s="4">
        <v>120000</v>
      </c>
      <c r="H861" s="4">
        <f t="shared" si="13"/>
        <v>99500</v>
      </c>
      <c r="I861">
        <v>0</v>
      </c>
      <c r="J861">
        <v>0</v>
      </c>
      <c r="K861">
        <v>0</v>
      </c>
      <c r="L861">
        <v>0</v>
      </c>
      <c r="M861">
        <v>0</v>
      </c>
    </row>
    <row r="862" spans="1:13" x14ac:dyDescent="0.25">
      <c r="A862" t="s">
        <v>912</v>
      </c>
      <c r="B862" s="5">
        <v>3</v>
      </c>
      <c r="C862" t="s">
        <v>913</v>
      </c>
      <c r="D862" t="s">
        <v>855</v>
      </c>
      <c r="E862" t="s">
        <v>855</v>
      </c>
      <c r="F862" s="4">
        <v>79000</v>
      </c>
      <c r="G862" s="4">
        <v>120000</v>
      </c>
      <c r="H862" s="4">
        <f t="shared" si="13"/>
        <v>99500</v>
      </c>
      <c r="I862">
        <v>0</v>
      </c>
      <c r="J862">
        <v>0</v>
      </c>
      <c r="K862">
        <v>0</v>
      </c>
      <c r="L862">
        <v>0</v>
      </c>
      <c r="M862">
        <v>0</v>
      </c>
    </row>
    <row r="863" spans="1:13" x14ac:dyDescent="0.25">
      <c r="A863" t="s">
        <v>912</v>
      </c>
      <c r="B863" s="5">
        <v>3</v>
      </c>
      <c r="C863" t="s">
        <v>913</v>
      </c>
      <c r="D863" t="s">
        <v>855</v>
      </c>
      <c r="E863" t="s">
        <v>855</v>
      </c>
      <c r="F863" s="4">
        <v>79000</v>
      </c>
      <c r="G863" s="4">
        <v>120000</v>
      </c>
      <c r="H863" s="4">
        <f t="shared" si="13"/>
        <v>99500</v>
      </c>
      <c r="I863">
        <v>0</v>
      </c>
      <c r="J863">
        <v>0</v>
      </c>
      <c r="K863">
        <v>0</v>
      </c>
      <c r="L863">
        <v>0</v>
      </c>
      <c r="M863">
        <v>0</v>
      </c>
    </row>
    <row r="864" spans="1:13" x14ac:dyDescent="0.25">
      <c r="A864" t="s">
        <v>912</v>
      </c>
      <c r="B864" s="5">
        <v>3</v>
      </c>
      <c r="C864" t="s">
        <v>913</v>
      </c>
      <c r="D864" t="s">
        <v>855</v>
      </c>
      <c r="E864" t="s">
        <v>855</v>
      </c>
      <c r="F864" s="4">
        <v>79000</v>
      </c>
      <c r="G864" s="4">
        <v>120000</v>
      </c>
      <c r="H864" s="4">
        <f t="shared" si="13"/>
        <v>99500</v>
      </c>
      <c r="I864">
        <v>0</v>
      </c>
      <c r="J864">
        <v>0</v>
      </c>
      <c r="K864">
        <v>0</v>
      </c>
      <c r="L864">
        <v>0</v>
      </c>
      <c r="M864">
        <v>0</v>
      </c>
    </row>
    <row r="865" spans="1:13" x14ac:dyDescent="0.25">
      <c r="A865" t="s">
        <v>912</v>
      </c>
      <c r="B865" s="5">
        <v>3</v>
      </c>
      <c r="C865" t="s">
        <v>913</v>
      </c>
      <c r="D865" t="s">
        <v>855</v>
      </c>
      <c r="E865" t="s">
        <v>855</v>
      </c>
      <c r="F865" s="4">
        <v>79000</v>
      </c>
      <c r="G865" s="4">
        <v>120000</v>
      </c>
      <c r="H865" s="4">
        <f t="shared" si="13"/>
        <v>99500</v>
      </c>
      <c r="I865">
        <v>0</v>
      </c>
      <c r="J865">
        <v>0</v>
      </c>
      <c r="K865">
        <v>0</v>
      </c>
      <c r="L865">
        <v>0</v>
      </c>
      <c r="M865">
        <v>0</v>
      </c>
    </row>
    <row r="866" spans="1:13" x14ac:dyDescent="0.25">
      <c r="A866" t="s">
        <v>912</v>
      </c>
      <c r="B866" s="5">
        <v>3</v>
      </c>
      <c r="C866" t="s">
        <v>913</v>
      </c>
      <c r="D866" t="s">
        <v>855</v>
      </c>
      <c r="E866" t="s">
        <v>855</v>
      </c>
      <c r="F866" s="4">
        <v>79000</v>
      </c>
      <c r="G866" s="4">
        <v>120000</v>
      </c>
      <c r="H866" s="4">
        <f t="shared" si="13"/>
        <v>99500</v>
      </c>
      <c r="I866">
        <v>0</v>
      </c>
      <c r="J866">
        <v>0</v>
      </c>
      <c r="K866">
        <v>0</v>
      </c>
      <c r="L866">
        <v>0</v>
      </c>
      <c r="M866">
        <v>0</v>
      </c>
    </row>
    <row r="867" spans="1:13" x14ac:dyDescent="0.25">
      <c r="A867" t="s">
        <v>912</v>
      </c>
      <c r="B867" s="5">
        <v>3</v>
      </c>
      <c r="C867" t="s">
        <v>913</v>
      </c>
      <c r="D867" t="s">
        <v>855</v>
      </c>
      <c r="E867" t="s">
        <v>855</v>
      </c>
      <c r="F867" s="4">
        <v>79000</v>
      </c>
      <c r="G867" s="4">
        <v>120000</v>
      </c>
      <c r="H867" s="4">
        <f t="shared" si="13"/>
        <v>99500</v>
      </c>
      <c r="I867">
        <v>0</v>
      </c>
      <c r="J867">
        <v>0</v>
      </c>
      <c r="K867">
        <v>0</v>
      </c>
      <c r="L867">
        <v>0</v>
      </c>
      <c r="M867">
        <v>0</v>
      </c>
    </row>
    <row r="868" spans="1:13" x14ac:dyDescent="0.25">
      <c r="A868" t="s">
        <v>912</v>
      </c>
      <c r="B868" s="5">
        <v>3</v>
      </c>
      <c r="C868" t="s">
        <v>913</v>
      </c>
      <c r="D868" t="s">
        <v>855</v>
      </c>
      <c r="E868" t="s">
        <v>855</v>
      </c>
      <c r="F868" s="4">
        <v>79000</v>
      </c>
      <c r="G868" s="4">
        <v>120000</v>
      </c>
      <c r="H868" s="4">
        <f t="shared" si="13"/>
        <v>99500</v>
      </c>
      <c r="I868">
        <v>0</v>
      </c>
      <c r="J868">
        <v>0</v>
      </c>
      <c r="K868">
        <v>0</v>
      </c>
      <c r="L868">
        <v>0</v>
      </c>
      <c r="M868">
        <v>0</v>
      </c>
    </row>
    <row r="869" spans="1:13" x14ac:dyDescent="0.25">
      <c r="A869" t="s">
        <v>912</v>
      </c>
      <c r="B869" s="5">
        <v>3</v>
      </c>
      <c r="C869" t="s">
        <v>913</v>
      </c>
      <c r="D869" t="s">
        <v>855</v>
      </c>
      <c r="E869" t="s">
        <v>855</v>
      </c>
      <c r="F869" s="4">
        <v>79000</v>
      </c>
      <c r="G869" s="4">
        <v>120000</v>
      </c>
      <c r="H869" s="4">
        <f t="shared" si="13"/>
        <v>99500</v>
      </c>
      <c r="I869">
        <v>0</v>
      </c>
      <c r="J869">
        <v>0</v>
      </c>
      <c r="K869">
        <v>0</v>
      </c>
      <c r="L869">
        <v>0</v>
      </c>
      <c r="M869">
        <v>0</v>
      </c>
    </row>
    <row r="870" spans="1:13" x14ac:dyDescent="0.25">
      <c r="A870" t="s">
        <v>912</v>
      </c>
      <c r="B870" s="5">
        <v>3</v>
      </c>
      <c r="C870" t="s">
        <v>913</v>
      </c>
      <c r="D870" t="s">
        <v>855</v>
      </c>
      <c r="E870" t="s">
        <v>855</v>
      </c>
      <c r="F870" s="4">
        <v>79000</v>
      </c>
      <c r="G870" s="4">
        <v>120000</v>
      </c>
      <c r="H870" s="4">
        <f t="shared" si="13"/>
        <v>99500</v>
      </c>
      <c r="I870">
        <v>0</v>
      </c>
      <c r="J870">
        <v>0</v>
      </c>
      <c r="K870">
        <v>0</v>
      </c>
      <c r="L870">
        <v>0</v>
      </c>
      <c r="M870">
        <v>0</v>
      </c>
    </row>
    <row r="871" spans="1:13" x14ac:dyDescent="0.25">
      <c r="A871" t="s">
        <v>0</v>
      </c>
      <c r="B871" s="5">
        <v>3.5</v>
      </c>
      <c r="C871" t="s">
        <v>914</v>
      </c>
      <c r="D871" t="s">
        <v>855</v>
      </c>
      <c r="E871" t="s">
        <v>855</v>
      </c>
      <c r="F871" s="4">
        <v>78000</v>
      </c>
      <c r="G871" s="4">
        <v>90000</v>
      </c>
      <c r="H871" s="4">
        <f t="shared" si="13"/>
        <v>84000</v>
      </c>
      <c r="I871">
        <v>0</v>
      </c>
      <c r="J871">
        <v>0</v>
      </c>
      <c r="K871">
        <v>0</v>
      </c>
      <c r="L871">
        <v>0</v>
      </c>
      <c r="M871">
        <v>0</v>
      </c>
    </row>
    <row r="872" spans="1:13" x14ac:dyDescent="0.25">
      <c r="A872" t="s">
        <v>0</v>
      </c>
      <c r="B872" s="5">
        <v>4.3</v>
      </c>
      <c r="C872" t="s">
        <v>915</v>
      </c>
      <c r="D872" t="s">
        <v>855</v>
      </c>
      <c r="E872" t="s">
        <v>855</v>
      </c>
      <c r="F872" s="4">
        <v>75000</v>
      </c>
      <c r="G872" s="4">
        <v>85000</v>
      </c>
      <c r="H872" s="4">
        <f t="shared" si="13"/>
        <v>80000</v>
      </c>
      <c r="I872">
        <v>0</v>
      </c>
      <c r="J872">
        <v>0</v>
      </c>
      <c r="K872">
        <v>0</v>
      </c>
      <c r="L872">
        <v>0</v>
      </c>
      <c r="M872">
        <v>0</v>
      </c>
    </row>
    <row r="873" spans="1:13" x14ac:dyDescent="0.25">
      <c r="A873" t="s">
        <v>916</v>
      </c>
      <c r="B873" s="5">
        <v>4.4000000000000004</v>
      </c>
      <c r="C873" t="s">
        <v>917</v>
      </c>
      <c r="D873" t="s">
        <v>855</v>
      </c>
      <c r="E873" t="s">
        <v>855</v>
      </c>
      <c r="F873" s="4">
        <v>70000</v>
      </c>
      <c r="G873" s="4">
        <v>125000</v>
      </c>
      <c r="H873" s="4">
        <f t="shared" si="13"/>
        <v>97500</v>
      </c>
      <c r="I873">
        <v>0</v>
      </c>
      <c r="J873">
        <v>0</v>
      </c>
      <c r="K873">
        <v>0</v>
      </c>
      <c r="L873">
        <v>0</v>
      </c>
      <c r="M873">
        <v>0</v>
      </c>
    </row>
    <row r="874" spans="1:13" x14ac:dyDescent="0.25">
      <c r="A874" t="s">
        <v>904</v>
      </c>
      <c r="B874" s="5">
        <v>3.5</v>
      </c>
      <c r="C874" t="s">
        <v>918</v>
      </c>
      <c r="D874" t="s">
        <v>855</v>
      </c>
      <c r="E874" t="s">
        <v>855</v>
      </c>
      <c r="F874" s="4">
        <v>68000</v>
      </c>
      <c r="G874" s="4">
        <v>191000</v>
      </c>
      <c r="H874" s="4">
        <f t="shared" si="13"/>
        <v>129500</v>
      </c>
      <c r="I874">
        <v>0</v>
      </c>
      <c r="J874">
        <v>0</v>
      </c>
      <c r="K874">
        <v>0</v>
      </c>
      <c r="L874">
        <v>0</v>
      </c>
      <c r="M874">
        <v>0</v>
      </c>
    </row>
    <row r="875" spans="1:13" x14ac:dyDescent="0.25">
      <c r="A875" t="s">
        <v>0</v>
      </c>
      <c r="B875" s="5">
        <v>2.9</v>
      </c>
      <c r="C875" t="s">
        <v>919</v>
      </c>
      <c r="D875" t="s">
        <v>855</v>
      </c>
      <c r="E875" t="s">
        <v>855</v>
      </c>
      <c r="F875" s="4">
        <v>61000</v>
      </c>
      <c r="G875" s="4">
        <v>106000</v>
      </c>
      <c r="H875" s="4">
        <f t="shared" si="13"/>
        <v>83500</v>
      </c>
      <c r="I875">
        <v>0</v>
      </c>
      <c r="J875">
        <v>0</v>
      </c>
      <c r="K875">
        <v>0</v>
      </c>
      <c r="L875">
        <v>0</v>
      </c>
      <c r="M875">
        <v>0</v>
      </c>
    </row>
    <row r="876" spans="1:13" x14ac:dyDescent="0.25">
      <c r="A876" t="s">
        <v>920</v>
      </c>
      <c r="B876" s="5">
        <v>4</v>
      </c>
      <c r="C876" t="s">
        <v>921</v>
      </c>
      <c r="D876" t="s">
        <v>855</v>
      </c>
      <c r="E876" t="s">
        <v>855</v>
      </c>
      <c r="F876" s="4">
        <v>61000</v>
      </c>
      <c r="G876" s="4">
        <v>110000</v>
      </c>
      <c r="H876" s="4">
        <f t="shared" si="13"/>
        <v>85500</v>
      </c>
      <c r="I876">
        <v>0</v>
      </c>
      <c r="J876">
        <v>0</v>
      </c>
      <c r="K876">
        <v>0</v>
      </c>
      <c r="L876">
        <v>0</v>
      </c>
      <c r="M876">
        <v>0</v>
      </c>
    </row>
    <row r="877" spans="1:13" x14ac:dyDescent="0.25">
      <c r="A877" t="s">
        <v>0</v>
      </c>
      <c r="C877" t="s">
        <v>922</v>
      </c>
      <c r="D877" t="s">
        <v>855</v>
      </c>
      <c r="E877" t="s">
        <v>855</v>
      </c>
      <c r="F877" s="4">
        <v>60000</v>
      </c>
      <c r="G877" s="4">
        <v>140000</v>
      </c>
      <c r="H877" s="4">
        <f t="shared" si="13"/>
        <v>100000</v>
      </c>
      <c r="I877">
        <v>1</v>
      </c>
      <c r="J877">
        <v>1</v>
      </c>
      <c r="K877">
        <v>0</v>
      </c>
      <c r="L877">
        <v>0</v>
      </c>
      <c r="M877">
        <v>0</v>
      </c>
    </row>
    <row r="878" spans="1:13" x14ac:dyDescent="0.25">
      <c r="A878" t="s">
        <v>266</v>
      </c>
      <c r="B878" s="5">
        <v>4</v>
      </c>
      <c r="C878" t="s">
        <v>923</v>
      </c>
      <c r="D878" t="s">
        <v>855</v>
      </c>
      <c r="E878" t="s">
        <v>855</v>
      </c>
      <c r="F878" s="4">
        <v>60000</v>
      </c>
      <c r="G878" s="4">
        <v>64000</v>
      </c>
      <c r="H878" s="4">
        <f t="shared" si="13"/>
        <v>62000</v>
      </c>
      <c r="I878">
        <v>0</v>
      </c>
      <c r="J878">
        <v>0</v>
      </c>
      <c r="K878">
        <v>0</v>
      </c>
      <c r="L878">
        <v>0</v>
      </c>
      <c r="M878">
        <v>0</v>
      </c>
    </row>
    <row r="879" spans="1:13" x14ac:dyDescent="0.25">
      <c r="A879" t="s">
        <v>924</v>
      </c>
      <c r="B879" s="5">
        <v>4.0999999999999996</v>
      </c>
      <c r="C879" t="s">
        <v>925</v>
      </c>
      <c r="D879" t="s">
        <v>855</v>
      </c>
      <c r="E879" t="s">
        <v>855</v>
      </c>
      <c r="F879" s="4">
        <v>52000</v>
      </c>
      <c r="G879" s="4">
        <v>79040</v>
      </c>
      <c r="H879" s="4">
        <f t="shared" si="13"/>
        <v>65520</v>
      </c>
      <c r="I879">
        <v>0</v>
      </c>
      <c r="J879">
        <v>0</v>
      </c>
      <c r="K879">
        <v>0</v>
      </c>
      <c r="L879">
        <v>0</v>
      </c>
      <c r="M879">
        <v>0</v>
      </c>
    </row>
    <row r="880" spans="1:13" x14ac:dyDescent="0.25">
      <c r="A880" t="s">
        <v>926</v>
      </c>
      <c r="B880" s="5">
        <v>4.0999999999999996</v>
      </c>
      <c r="C880" t="s">
        <v>927</v>
      </c>
      <c r="D880" t="s">
        <v>855</v>
      </c>
      <c r="E880" t="s">
        <v>855</v>
      </c>
      <c r="F880" s="4">
        <v>30000</v>
      </c>
      <c r="G880" s="4">
        <v>35000</v>
      </c>
      <c r="H880" s="4">
        <f t="shared" si="13"/>
        <v>32500</v>
      </c>
      <c r="I880">
        <v>0</v>
      </c>
      <c r="J880">
        <v>0</v>
      </c>
      <c r="K880">
        <v>0</v>
      </c>
      <c r="L880">
        <v>0</v>
      </c>
      <c r="M880">
        <v>0</v>
      </c>
    </row>
    <row r="881" spans="1:13" x14ac:dyDescent="0.25">
      <c r="A881" t="s">
        <v>17</v>
      </c>
      <c r="C881" t="s">
        <v>928</v>
      </c>
      <c r="D881" t="s">
        <v>929</v>
      </c>
      <c r="E881" t="s">
        <v>930</v>
      </c>
      <c r="F881" s="4">
        <v>124800</v>
      </c>
      <c r="G881" s="4">
        <v>124800</v>
      </c>
      <c r="H881" s="4">
        <f t="shared" si="13"/>
        <v>124800</v>
      </c>
      <c r="I881">
        <v>1</v>
      </c>
      <c r="J881">
        <v>1</v>
      </c>
      <c r="K881">
        <v>0</v>
      </c>
      <c r="L881">
        <v>0</v>
      </c>
      <c r="M881">
        <v>1</v>
      </c>
    </row>
    <row r="882" spans="1:13" x14ac:dyDescent="0.25">
      <c r="A882" t="s">
        <v>17</v>
      </c>
      <c r="C882" t="s">
        <v>928</v>
      </c>
      <c r="D882" t="s">
        <v>929</v>
      </c>
      <c r="E882" t="s">
        <v>930</v>
      </c>
      <c r="F882" s="4">
        <v>124800</v>
      </c>
      <c r="G882" s="4">
        <v>124800</v>
      </c>
      <c r="H882" s="4">
        <f t="shared" si="13"/>
        <v>124800</v>
      </c>
      <c r="I882">
        <v>1</v>
      </c>
      <c r="J882">
        <v>1</v>
      </c>
      <c r="K882">
        <v>0</v>
      </c>
      <c r="L882">
        <v>0</v>
      </c>
      <c r="M882">
        <v>1</v>
      </c>
    </row>
    <row r="883" spans="1:13" x14ac:dyDescent="0.25">
      <c r="A883" t="s">
        <v>17</v>
      </c>
      <c r="C883" t="s">
        <v>928</v>
      </c>
      <c r="D883" t="s">
        <v>929</v>
      </c>
      <c r="E883" t="s">
        <v>930</v>
      </c>
      <c r="F883" s="4">
        <v>124800</v>
      </c>
      <c r="G883" s="4">
        <v>124800</v>
      </c>
      <c r="H883" s="4">
        <f t="shared" si="13"/>
        <v>124800</v>
      </c>
      <c r="I883">
        <v>1</v>
      </c>
      <c r="J883">
        <v>1</v>
      </c>
      <c r="K883">
        <v>0</v>
      </c>
      <c r="L883">
        <v>0</v>
      </c>
      <c r="M883">
        <v>1</v>
      </c>
    </row>
    <row r="884" spans="1:13" x14ac:dyDescent="0.25">
      <c r="A884" t="s">
        <v>17</v>
      </c>
      <c r="C884" t="s">
        <v>928</v>
      </c>
      <c r="D884" t="s">
        <v>929</v>
      </c>
      <c r="E884" t="s">
        <v>930</v>
      </c>
      <c r="F884" s="4">
        <v>124800</v>
      </c>
      <c r="G884" s="4">
        <v>124800</v>
      </c>
      <c r="H884" s="4">
        <f t="shared" si="13"/>
        <v>124800</v>
      </c>
      <c r="I884">
        <v>1</v>
      </c>
      <c r="J884">
        <v>1</v>
      </c>
      <c r="K884">
        <v>0</v>
      </c>
      <c r="L884">
        <v>0</v>
      </c>
      <c r="M884">
        <v>1</v>
      </c>
    </row>
    <row r="885" spans="1:13" x14ac:dyDescent="0.25">
      <c r="A885" t="s">
        <v>17</v>
      </c>
      <c r="C885" t="s">
        <v>928</v>
      </c>
      <c r="D885" t="s">
        <v>929</v>
      </c>
      <c r="E885" t="s">
        <v>930</v>
      </c>
      <c r="F885" s="4">
        <v>124800</v>
      </c>
      <c r="G885" s="4">
        <v>124800</v>
      </c>
      <c r="H885" s="4">
        <f t="shared" si="13"/>
        <v>124800</v>
      </c>
      <c r="I885">
        <v>1</v>
      </c>
      <c r="J885">
        <v>1</v>
      </c>
      <c r="K885">
        <v>0</v>
      </c>
      <c r="L885">
        <v>0</v>
      </c>
      <c r="M885">
        <v>1</v>
      </c>
    </row>
    <row r="886" spans="1:13" x14ac:dyDescent="0.25">
      <c r="A886" t="s">
        <v>17</v>
      </c>
      <c r="C886" t="s">
        <v>928</v>
      </c>
      <c r="D886" t="s">
        <v>929</v>
      </c>
      <c r="E886" t="s">
        <v>930</v>
      </c>
      <c r="F886" s="4">
        <v>124800</v>
      </c>
      <c r="G886" s="4">
        <v>124800</v>
      </c>
      <c r="H886" s="4">
        <f t="shared" si="13"/>
        <v>124800</v>
      </c>
      <c r="I886">
        <v>1</v>
      </c>
      <c r="J886">
        <v>1</v>
      </c>
      <c r="K886">
        <v>0</v>
      </c>
      <c r="L886">
        <v>0</v>
      </c>
      <c r="M886">
        <v>1</v>
      </c>
    </row>
    <row r="887" spans="1:13" x14ac:dyDescent="0.25">
      <c r="A887" t="s">
        <v>17</v>
      </c>
      <c r="C887" t="s">
        <v>928</v>
      </c>
      <c r="D887" t="s">
        <v>929</v>
      </c>
      <c r="E887" t="s">
        <v>930</v>
      </c>
      <c r="F887" s="4">
        <v>124800</v>
      </c>
      <c r="G887" s="4">
        <v>124800</v>
      </c>
      <c r="H887" s="4">
        <f t="shared" si="13"/>
        <v>124800</v>
      </c>
      <c r="I887">
        <v>1</v>
      </c>
      <c r="J887">
        <v>1</v>
      </c>
      <c r="K887">
        <v>0</v>
      </c>
      <c r="L887">
        <v>0</v>
      </c>
      <c r="M887">
        <v>1</v>
      </c>
    </row>
    <row r="888" spans="1:13" x14ac:dyDescent="0.25">
      <c r="A888" t="s">
        <v>17</v>
      </c>
      <c r="C888" t="s">
        <v>928</v>
      </c>
      <c r="D888" t="s">
        <v>929</v>
      </c>
      <c r="E888" t="s">
        <v>930</v>
      </c>
      <c r="F888" s="4">
        <v>124800</v>
      </c>
      <c r="G888" s="4">
        <v>124800</v>
      </c>
      <c r="H888" s="4">
        <f t="shared" si="13"/>
        <v>124800</v>
      </c>
      <c r="I888">
        <v>1</v>
      </c>
      <c r="J888">
        <v>1</v>
      </c>
      <c r="K888">
        <v>0</v>
      </c>
      <c r="L888">
        <v>0</v>
      </c>
      <c r="M888">
        <v>1</v>
      </c>
    </row>
    <row r="889" spans="1:13" x14ac:dyDescent="0.25">
      <c r="A889" t="s">
        <v>17</v>
      </c>
      <c r="C889" t="s">
        <v>928</v>
      </c>
      <c r="D889" t="s">
        <v>929</v>
      </c>
      <c r="E889" t="s">
        <v>930</v>
      </c>
      <c r="F889" s="4">
        <v>124800</v>
      </c>
      <c r="G889" s="4">
        <v>124800</v>
      </c>
      <c r="H889" s="4">
        <f t="shared" si="13"/>
        <v>124800</v>
      </c>
      <c r="I889">
        <v>1</v>
      </c>
      <c r="J889">
        <v>1</v>
      </c>
      <c r="K889">
        <v>0</v>
      </c>
      <c r="L889">
        <v>0</v>
      </c>
      <c r="M889">
        <v>1</v>
      </c>
    </row>
    <row r="890" spans="1:13" x14ac:dyDescent="0.25">
      <c r="A890" t="s">
        <v>17</v>
      </c>
      <c r="C890" t="s">
        <v>928</v>
      </c>
      <c r="D890" t="s">
        <v>929</v>
      </c>
      <c r="E890" t="s">
        <v>930</v>
      </c>
      <c r="F890" s="4">
        <v>124800</v>
      </c>
      <c r="G890" s="4">
        <v>124800</v>
      </c>
      <c r="H890" s="4">
        <f t="shared" si="13"/>
        <v>124800</v>
      </c>
      <c r="I890">
        <v>1</v>
      </c>
      <c r="J890">
        <v>1</v>
      </c>
      <c r="K890">
        <v>0</v>
      </c>
      <c r="L890">
        <v>0</v>
      </c>
      <c r="M890">
        <v>1</v>
      </c>
    </row>
    <row r="891" spans="1:13" x14ac:dyDescent="0.25">
      <c r="A891" t="s">
        <v>17</v>
      </c>
      <c r="C891" t="s">
        <v>928</v>
      </c>
      <c r="D891" t="s">
        <v>929</v>
      </c>
      <c r="E891" t="s">
        <v>930</v>
      </c>
      <c r="F891" s="4">
        <v>124800</v>
      </c>
      <c r="G891" s="4">
        <v>124800</v>
      </c>
      <c r="H891" s="4">
        <f t="shared" si="13"/>
        <v>124800</v>
      </c>
      <c r="I891">
        <v>1</v>
      </c>
      <c r="J891">
        <v>1</v>
      </c>
      <c r="K891">
        <v>0</v>
      </c>
      <c r="L891">
        <v>0</v>
      </c>
      <c r="M891">
        <v>1</v>
      </c>
    </row>
    <row r="892" spans="1:13" x14ac:dyDescent="0.25">
      <c r="A892" t="s">
        <v>17</v>
      </c>
      <c r="C892" t="s">
        <v>928</v>
      </c>
      <c r="D892" t="s">
        <v>929</v>
      </c>
      <c r="E892" t="s">
        <v>930</v>
      </c>
      <c r="F892" s="4">
        <v>124800</v>
      </c>
      <c r="G892" s="4">
        <v>124800</v>
      </c>
      <c r="H892" s="4">
        <f t="shared" si="13"/>
        <v>124800</v>
      </c>
      <c r="I892">
        <v>1</v>
      </c>
      <c r="J892">
        <v>1</v>
      </c>
      <c r="K892">
        <v>0</v>
      </c>
      <c r="L892">
        <v>0</v>
      </c>
      <c r="M892">
        <v>1</v>
      </c>
    </row>
    <row r="893" spans="1:13" x14ac:dyDescent="0.25">
      <c r="A893" t="s">
        <v>17</v>
      </c>
      <c r="C893" t="s">
        <v>928</v>
      </c>
      <c r="D893" t="s">
        <v>929</v>
      </c>
      <c r="E893" t="s">
        <v>930</v>
      </c>
      <c r="F893" s="4">
        <v>124800</v>
      </c>
      <c r="G893" s="4">
        <v>124800</v>
      </c>
      <c r="H893" s="4">
        <f t="shared" si="13"/>
        <v>124800</v>
      </c>
      <c r="I893">
        <v>1</v>
      </c>
      <c r="J893">
        <v>1</v>
      </c>
      <c r="K893">
        <v>0</v>
      </c>
      <c r="L893">
        <v>0</v>
      </c>
      <c r="M893">
        <v>1</v>
      </c>
    </row>
    <row r="894" spans="1:13" x14ac:dyDescent="0.25">
      <c r="A894" t="s">
        <v>17</v>
      </c>
      <c r="C894" t="s">
        <v>928</v>
      </c>
      <c r="D894" t="s">
        <v>929</v>
      </c>
      <c r="E894" t="s">
        <v>930</v>
      </c>
      <c r="F894" s="4">
        <v>124800</v>
      </c>
      <c r="G894" s="4">
        <v>124800</v>
      </c>
      <c r="H894" s="4">
        <f t="shared" si="13"/>
        <v>124800</v>
      </c>
      <c r="I894">
        <v>1</v>
      </c>
      <c r="J894">
        <v>1</v>
      </c>
      <c r="K894">
        <v>0</v>
      </c>
      <c r="L894">
        <v>0</v>
      </c>
      <c r="M894">
        <v>1</v>
      </c>
    </row>
    <row r="895" spans="1:13" x14ac:dyDescent="0.25">
      <c r="A895" t="s">
        <v>17</v>
      </c>
      <c r="C895" t="s">
        <v>928</v>
      </c>
      <c r="D895" t="s">
        <v>929</v>
      </c>
      <c r="E895" t="s">
        <v>930</v>
      </c>
      <c r="F895" s="4">
        <v>124800</v>
      </c>
      <c r="G895" s="4">
        <v>124800</v>
      </c>
      <c r="H895" s="4">
        <f t="shared" si="13"/>
        <v>124800</v>
      </c>
      <c r="I895">
        <v>1</v>
      </c>
      <c r="J895">
        <v>1</v>
      </c>
      <c r="K895">
        <v>0</v>
      </c>
      <c r="L895">
        <v>0</v>
      </c>
      <c r="M895">
        <v>1</v>
      </c>
    </row>
    <row r="896" spans="1:13" x14ac:dyDescent="0.25">
      <c r="A896" t="s">
        <v>17</v>
      </c>
      <c r="C896" t="s">
        <v>928</v>
      </c>
      <c r="D896" t="s">
        <v>929</v>
      </c>
      <c r="E896" t="s">
        <v>930</v>
      </c>
      <c r="F896" s="4">
        <v>124800</v>
      </c>
      <c r="G896" s="4">
        <v>124800</v>
      </c>
      <c r="H896" s="4">
        <f t="shared" si="13"/>
        <v>124800</v>
      </c>
      <c r="I896">
        <v>1</v>
      </c>
      <c r="J896">
        <v>1</v>
      </c>
      <c r="K896">
        <v>0</v>
      </c>
      <c r="L896">
        <v>0</v>
      </c>
      <c r="M896">
        <v>1</v>
      </c>
    </row>
    <row r="897" spans="1:13" x14ac:dyDescent="0.25">
      <c r="A897" t="s">
        <v>17</v>
      </c>
      <c r="C897" t="s">
        <v>928</v>
      </c>
      <c r="D897" t="s">
        <v>929</v>
      </c>
      <c r="E897" t="s">
        <v>930</v>
      </c>
      <c r="F897" s="4">
        <v>124800</v>
      </c>
      <c r="G897" s="4">
        <v>124800</v>
      </c>
      <c r="H897" s="4">
        <f t="shared" si="13"/>
        <v>124800</v>
      </c>
      <c r="I897">
        <v>1</v>
      </c>
      <c r="J897">
        <v>1</v>
      </c>
      <c r="K897">
        <v>0</v>
      </c>
      <c r="L897">
        <v>0</v>
      </c>
      <c r="M897">
        <v>1</v>
      </c>
    </row>
    <row r="898" spans="1:13" x14ac:dyDescent="0.25">
      <c r="A898" t="s">
        <v>17</v>
      </c>
      <c r="C898" t="s">
        <v>928</v>
      </c>
      <c r="D898" t="s">
        <v>929</v>
      </c>
      <c r="E898" t="s">
        <v>930</v>
      </c>
      <c r="F898" s="4">
        <v>124800</v>
      </c>
      <c r="G898" s="4">
        <v>124800</v>
      </c>
      <c r="H898" s="4">
        <f t="shared" si="13"/>
        <v>124800</v>
      </c>
      <c r="I898">
        <v>1</v>
      </c>
      <c r="J898">
        <v>1</v>
      </c>
      <c r="K898">
        <v>0</v>
      </c>
      <c r="L898">
        <v>0</v>
      </c>
      <c r="M898">
        <v>1</v>
      </c>
    </row>
    <row r="899" spans="1:13" x14ac:dyDescent="0.25">
      <c r="A899" t="s">
        <v>17</v>
      </c>
      <c r="C899" t="s">
        <v>928</v>
      </c>
      <c r="D899" t="s">
        <v>929</v>
      </c>
      <c r="E899" t="s">
        <v>930</v>
      </c>
      <c r="F899" s="4">
        <v>124800</v>
      </c>
      <c r="G899" s="4">
        <v>124800</v>
      </c>
      <c r="H899" s="4">
        <f t="shared" ref="H899:H962" si="14">(F899+G899)/2</f>
        <v>124800</v>
      </c>
      <c r="I899">
        <v>1</v>
      </c>
      <c r="J899">
        <v>1</v>
      </c>
      <c r="K899">
        <v>0</v>
      </c>
      <c r="L899">
        <v>0</v>
      </c>
      <c r="M899">
        <v>1</v>
      </c>
    </row>
    <row r="900" spans="1:13" x14ac:dyDescent="0.25">
      <c r="A900" t="s">
        <v>30</v>
      </c>
      <c r="B900" s="5">
        <v>4.3</v>
      </c>
      <c r="C900" t="s">
        <v>931</v>
      </c>
      <c r="D900" t="s">
        <v>929</v>
      </c>
      <c r="E900" t="s">
        <v>930</v>
      </c>
      <c r="F900" s="4">
        <v>122000</v>
      </c>
      <c r="G900" s="4">
        <v>158000</v>
      </c>
      <c r="H900" s="4">
        <f t="shared" si="14"/>
        <v>140000</v>
      </c>
      <c r="I900">
        <v>0</v>
      </c>
      <c r="J900">
        <v>0</v>
      </c>
      <c r="K900">
        <v>0</v>
      </c>
      <c r="L900">
        <v>0</v>
      </c>
      <c r="M900">
        <v>1</v>
      </c>
    </row>
    <row r="901" spans="1:13" x14ac:dyDescent="0.25">
      <c r="A901" t="s">
        <v>266</v>
      </c>
      <c r="B901" s="5">
        <v>3.9</v>
      </c>
      <c r="C901" t="s">
        <v>932</v>
      </c>
      <c r="D901" t="s">
        <v>933</v>
      </c>
      <c r="E901" t="s">
        <v>934</v>
      </c>
      <c r="F901" s="4">
        <v>70000</v>
      </c>
      <c r="G901" s="4">
        <v>104000</v>
      </c>
      <c r="H901" s="4">
        <f t="shared" si="14"/>
        <v>87000</v>
      </c>
      <c r="I901">
        <v>0</v>
      </c>
      <c r="J901">
        <v>0</v>
      </c>
      <c r="K901">
        <v>0</v>
      </c>
      <c r="L901">
        <v>0</v>
      </c>
      <c r="M901">
        <v>1</v>
      </c>
    </row>
    <row r="902" spans="1:13" x14ac:dyDescent="0.25">
      <c r="A902" t="s">
        <v>935</v>
      </c>
      <c r="B902" s="5">
        <v>4.3</v>
      </c>
      <c r="C902" t="s">
        <v>936</v>
      </c>
      <c r="D902" t="s">
        <v>937</v>
      </c>
      <c r="E902" t="s">
        <v>938</v>
      </c>
      <c r="F902" s="4">
        <v>250000</v>
      </c>
      <c r="G902" s="4">
        <v>300000</v>
      </c>
      <c r="H902" s="4">
        <f t="shared" si="14"/>
        <v>275000</v>
      </c>
      <c r="I902">
        <v>0</v>
      </c>
      <c r="J902">
        <v>0</v>
      </c>
      <c r="K902">
        <v>0</v>
      </c>
      <c r="L902">
        <v>0</v>
      </c>
      <c r="M902">
        <v>1</v>
      </c>
    </row>
    <row r="903" spans="1:13" x14ac:dyDescent="0.25">
      <c r="A903" t="s">
        <v>939</v>
      </c>
      <c r="B903" s="5">
        <v>4</v>
      </c>
      <c r="C903" t="s">
        <v>940</v>
      </c>
      <c r="D903" t="s">
        <v>937</v>
      </c>
      <c r="E903" t="s">
        <v>938</v>
      </c>
      <c r="F903" s="4">
        <v>136000</v>
      </c>
      <c r="G903" s="4">
        <v>219000</v>
      </c>
      <c r="H903" s="4">
        <f t="shared" si="14"/>
        <v>177500</v>
      </c>
      <c r="I903">
        <v>0</v>
      </c>
      <c r="J903">
        <v>0</v>
      </c>
      <c r="K903">
        <v>0</v>
      </c>
      <c r="L903">
        <v>0</v>
      </c>
      <c r="M903">
        <v>1</v>
      </c>
    </row>
    <row r="904" spans="1:13" x14ac:dyDescent="0.25">
      <c r="A904" t="s">
        <v>84</v>
      </c>
      <c r="B904" s="5">
        <v>4.0999999999999996</v>
      </c>
      <c r="C904" t="s">
        <v>331</v>
      </c>
      <c r="D904" t="s">
        <v>937</v>
      </c>
      <c r="E904" t="s">
        <v>938</v>
      </c>
      <c r="F904" s="4">
        <v>129000</v>
      </c>
      <c r="G904" s="4">
        <v>169000</v>
      </c>
      <c r="H904" s="4">
        <f t="shared" si="14"/>
        <v>149000</v>
      </c>
      <c r="I904">
        <v>0</v>
      </c>
      <c r="J904">
        <v>0</v>
      </c>
      <c r="K904">
        <v>0</v>
      </c>
      <c r="L904">
        <v>0</v>
      </c>
      <c r="M904">
        <v>1</v>
      </c>
    </row>
    <row r="905" spans="1:13" x14ac:dyDescent="0.25">
      <c r="A905" t="s">
        <v>941</v>
      </c>
      <c r="B905" s="5">
        <v>3.8</v>
      </c>
      <c r="C905" t="s">
        <v>832</v>
      </c>
      <c r="D905" t="s">
        <v>937</v>
      </c>
      <c r="E905" t="s">
        <v>938</v>
      </c>
      <c r="F905" s="4">
        <v>127000</v>
      </c>
      <c r="G905" s="4">
        <v>127000</v>
      </c>
      <c r="H905" s="4">
        <f t="shared" si="14"/>
        <v>127000</v>
      </c>
      <c r="I905">
        <v>1</v>
      </c>
      <c r="J905">
        <v>1</v>
      </c>
      <c r="K905">
        <v>0</v>
      </c>
      <c r="L905">
        <v>0</v>
      </c>
      <c r="M905">
        <v>1</v>
      </c>
    </row>
    <row r="906" spans="1:13" x14ac:dyDescent="0.25">
      <c r="A906" t="s">
        <v>30</v>
      </c>
      <c r="B906" s="5">
        <v>3.6</v>
      </c>
      <c r="C906" t="s">
        <v>942</v>
      </c>
      <c r="D906" t="s">
        <v>937</v>
      </c>
      <c r="E906" t="s">
        <v>938</v>
      </c>
      <c r="F906" s="4">
        <v>124000</v>
      </c>
      <c r="G906" s="4">
        <v>169000</v>
      </c>
      <c r="H906" s="4">
        <f t="shared" si="14"/>
        <v>146500</v>
      </c>
      <c r="I906">
        <v>0</v>
      </c>
      <c r="J906">
        <v>0</v>
      </c>
      <c r="K906">
        <v>0</v>
      </c>
      <c r="L906">
        <v>0</v>
      </c>
      <c r="M906">
        <v>1</v>
      </c>
    </row>
    <row r="907" spans="1:13" x14ac:dyDescent="0.25">
      <c r="A907" t="s">
        <v>0</v>
      </c>
      <c r="B907" s="5">
        <v>4.0999999999999996</v>
      </c>
      <c r="C907" t="s">
        <v>29</v>
      </c>
      <c r="D907" t="s">
        <v>937</v>
      </c>
      <c r="E907" t="s">
        <v>938</v>
      </c>
      <c r="F907" s="4">
        <v>119000</v>
      </c>
      <c r="G907" s="4">
        <v>179000</v>
      </c>
      <c r="H907" s="4">
        <f t="shared" si="14"/>
        <v>149000</v>
      </c>
      <c r="I907">
        <v>0</v>
      </c>
      <c r="J907">
        <v>0</v>
      </c>
      <c r="K907">
        <v>0</v>
      </c>
      <c r="L907">
        <v>0</v>
      </c>
      <c r="M907">
        <v>1</v>
      </c>
    </row>
    <row r="908" spans="1:13" x14ac:dyDescent="0.25">
      <c r="A908" t="s">
        <v>943</v>
      </c>
      <c r="B908" s="5">
        <v>3.6</v>
      </c>
      <c r="C908" t="s">
        <v>73</v>
      </c>
      <c r="D908" t="s">
        <v>937</v>
      </c>
      <c r="E908" t="s">
        <v>938</v>
      </c>
      <c r="F908" s="4">
        <v>119000</v>
      </c>
      <c r="G908" s="4">
        <v>169000</v>
      </c>
      <c r="H908" s="4">
        <f t="shared" si="14"/>
        <v>144000</v>
      </c>
      <c r="I908">
        <v>0</v>
      </c>
      <c r="J908">
        <v>0</v>
      </c>
      <c r="K908">
        <v>0</v>
      </c>
      <c r="L908">
        <v>0</v>
      </c>
      <c r="M908">
        <v>1</v>
      </c>
    </row>
    <row r="909" spans="1:13" x14ac:dyDescent="0.25">
      <c r="A909" t="s">
        <v>0</v>
      </c>
      <c r="B909" s="5">
        <v>4.0999999999999996</v>
      </c>
      <c r="C909" t="s">
        <v>29</v>
      </c>
      <c r="D909" t="s">
        <v>937</v>
      </c>
      <c r="E909" t="s">
        <v>938</v>
      </c>
      <c r="F909" s="4">
        <v>119000</v>
      </c>
      <c r="G909" s="4">
        <v>179000</v>
      </c>
      <c r="H909" s="4">
        <f t="shared" si="14"/>
        <v>149000</v>
      </c>
      <c r="I909">
        <v>0</v>
      </c>
      <c r="J909">
        <v>0</v>
      </c>
      <c r="K909">
        <v>0</v>
      </c>
      <c r="L909">
        <v>0</v>
      </c>
      <c r="M909">
        <v>1</v>
      </c>
    </row>
    <row r="910" spans="1:13" x14ac:dyDescent="0.25">
      <c r="A910" t="s">
        <v>944</v>
      </c>
      <c r="B910" s="5">
        <v>3.6</v>
      </c>
      <c r="C910" t="s">
        <v>942</v>
      </c>
      <c r="D910" t="s">
        <v>937</v>
      </c>
      <c r="E910" t="s">
        <v>938</v>
      </c>
      <c r="F910" s="4">
        <v>94000</v>
      </c>
      <c r="G910" s="4">
        <v>156000</v>
      </c>
      <c r="H910" s="4">
        <f t="shared" si="14"/>
        <v>125000</v>
      </c>
      <c r="I910">
        <v>0</v>
      </c>
      <c r="J910">
        <v>0</v>
      </c>
      <c r="K910">
        <v>0</v>
      </c>
      <c r="L910">
        <v>0</v>
      </c>
      <c r="M910">
        <v>1</v>
      </c>
    </row>
    <row r="911" spans="1:13" x14ac:dyDescent="0.25">
      <c r="A911" t="s">
        <v>0</v>
      </c>
      <c r="B911" s="5">
        <v>3.7</v>
      </c>
      <c r="C911" t="s">
        <v>945</v>
      </c>
      <c r="D911" t="s">
        <v>937</v>
      </c>
      <c r="E911" t="s">
        <v>938</v>
      </c>
      <c r="F911" s="4">
        <v>90000</v>
      </c>
      <c r="G911" s="4">
        <v>126000</v>
      </c>
      <c r="H911" s="4">
        <f t="shared" si="14"/>
        <v>108000</v>
      </c>
      <c r="I911">
        <v>0</v>
      </c>
      <c r="J911">
        <v>0</v>
      </c>
      <c r="K911">
        <v>0</v>
      </c>
      <c r="L911">
        <v>0</v>
      </c>
      <c r="M911">
        <v>1</v>
      </c>
    </row>
    <row r="912" spans="1:13" x14ac:dyDescent="0.25">
      <c r="A912" t="s">
        <v>0</v>
      </c>
      <c r="B912" s="5">
        <v>4.9000000000000004</v>
      </c>
      <c r="C912" t="s">
        <v>946</v>
      </c>
      <c r="D912" t="s">
        <v>937</v>
      </c>
      <c r="E912" t="s">
        <v>938</v>
      </c>
      <c r="F912" s="4">
        <v>88000</v>
      </c>
      <c r="G912" s="4">
        <v>132000</v>
      </c>
      <c r="H912" s="4">
        <f t="shared" si="14"/>
        <v>110000</v>
      </c>
      <c r="I912">
        <v>0</v>
      </c>
      <c r="J912">
        <v>0</v>
      </c>
      <c r="K912">
        <v>0</v>
      </c>
      <c r="L912">
        <v>0</v>
      </c>
      <c r="M912">
        <v>1</v>
      </c>
    </row>
    <row r="913" spans="1:13" x14ac:dyDescent="0.25">
      <c r="A913" t="s">
        <v>0</v>
      </c>
      <c r="B913" s="5">
        <v>4.5</v>
      </c>
      <c r="C913" t="s">
        <v>947</v>
      </c>
      <c r="D913" t="s">
        <v>937</v>
      </c>
      <c r="E913" t="s">
        <v>938</v>
      </c>
      <c r="F913" s="4">
        <v>88000</v>
      </c>
      <c r="G913" s="4">
        <v>126000</v>
      </c>
      <c r="H913" s="4">
        <f t="shared" si="14"/>
        <v>107000</v>
      </c>
      <c r="I913">
        <v>0</v>
      </c>
      <c r="J913">
        <v>0</v>
      </c>
      <c r="K913">
        <v>0</v>
      </c>
      <c r="L913">
        <v>0</v>
      </c>
      <c r="M913">
        <v>1</v>
      </c>
    </row>
    <row r="914" spans="1:13" x14ac:dyDescent="0.25">
      <c r="A914" t="s">
        <v>733</v>
      </c>
      <c r="B914" s="5">
        <v>4.3</v>
      </c>
      <c r="C914" t="s">
        <v>948</v>
      </c>
      <c r="D914" t="s">
        <v>937</v>
      </c>
      <c r="E914" t="s">
        <v>938</v>
      </c>
      <c r="F914" s="4">
        <v>87000</v>
      </c>
      <c r="G914" s="4">
        <v>131000</v>
      </c>
      <c r="H914" s="4">
        <f t="shared" si="14"/>
        <v>109000</v>
      </c>
      <c r="I914">
        <v>0</v>
      </c>
      <c r="J914">
        <v>0</v>
      </c>
      <c r="K914">
        <v>0</v>
      </c>
      <c r="L914">
        <v>0</v>
      </c>
      <c r="M914">
        <v>1</v>
      </c>
    </row>
    <row r="915" spans="1:13" x14ac:dyDescent="0.25">
      <c r="A915" t="s">
        <v>949</v>
      </c>
      <c r="B915" s="5">
        <v>3.9</v>
      </c>
      <c r="C915" t="s">
        <v>950</v>
      </c>
      <c r="D915" t="s">
        <v>937</v>
      </c>
      <c r="E915" t="s">
        <v>938</v>
      </c>
      <c r="F915" s="4">
        <v>80000</v>
      </c>
      <c r="G915" s="4">
        <v>100000</v>
      </c>
      <c r="H915" s="4">
        <f t="shared" si="14"/>
        <v>90000</v>
      </c>
      <c r="I915">
        <v>0</v>
      </c>
      <c r="J915">
        <v>1</v>
      </c>
      <c r="K915">
        <v>0</v>
      </c>
      <c r="L915">
        <v>0</v>
      </c>
      <c r="M915">
        <v>1</v>
      </c>
    </row>
    <row r="916" spans="1:13" x14ac:dyDescent="0.25">
      <c r="A916" t="s">
        <v>601</v>
      </c>
      <c r="B916" s="5">
        <v>3.5</v>
      </c>
      <c r="C916" t="s">
        <v>951</v>
      </c>
      <c r="D916" t="s">
        <v>937</v>
      </c>
      <c r="E916" t="s">
        <v>938</v>
      </c>
      <c r="F916" s="4">
        <v>75000</v>
      </c>
      <c r="G916" s="4">
        <v>113000</v>
      </c>
      <c r="H916" s="4">
        <f t="shared" si="14"/>
        <v>94000</v>
      </c>
      <c r="I916">
        <v>0</v>
      </c>
      <c r="J916">
        <v>0</v>
      </c>
      <c r="K916">
        <v>0</v>
      </c>
      <c r="L916">
        <v>0</v>
      </c>
      <c r="M916">
        <v>1</v>
      </c>
    </row>
    <row r="917" spans="1:13" x14ac:dyDescent="0.25">
      <c r="A917" t="s">
        <v>601</v>
      </c>
      <c r="B917" s="5">
        <v>3.5</v>
      </c>
      <c r="C917" t="s">
        <v>952</v>
      </c>
      <c r="D917" t="s">
        <v>937</v>
      </c>
      <c r="E917" t="s">
        <v>938</v>
      </c>
      <c r="F917" s="4">
        <v>75000</v>
      </c>
      <c r="G917" s="4">
        <v>113000</v>
      </c>
      <c r="H917" s="4">
        <f t="shared" si="14"/>
        <v>94000</v>
      </c>
      <c r="I917">
        <v>0</v>
      </c>
      <c r="J917">
        <v>0</v>
      </c>
      <c r="K917">
        <v>0</v>
      </c>
      <c r="L917">
        <v>0</v>
      </c>
      <c r="M917">
        <v>1</v>
      </c>
    </row>
    <row r="918" spans="1:13" x14ac:dyDescent="0.25">
      <c r="A918" t="s">
        <v>953</v>
      </c>
      <c r="B918" s="5">
        <v>4.2</v>
      </c>
      <c r="C918" t="s">
        <v>954</v>
      </c>
      <c r="D918" t="s">
        <v>937</v>
      </c>
      <c r="E918" t="s">
        <v>938</v>
      </c>
      <c r="F918" s="4">
        <v>74000</v>
      </c>
      <c r="G918" s="4">
        <v>125000</v>
      </c>
      <c r="H918" s="4">
        <f t="shared" si="14"/>
        <v>99500</v>
      </c>
      <c r="I918">
        <v>0</v>
      </c>
      <c r="J918">
        <v>0</v>
      </c>
      <c r="K918">
        <v>0</v>
      </c>
      <c r="L918">
        <v>0</v>
      </c>
      <c r="M918">
        <v>1</v>
      </c>
    </row>
    <row r="919" spans="1:13" x14ac:dyDescent="0.25">
      <c r="A919" t="s">
        <v>955</v>
      </c>
      <c r="B919" s="5">
        <v>4.3</v>
      </c>
      <c r="C919" t="s">
        <v>936</v>
      </c>
      <c r="D919" t="s">
        <v>937</v>
      </c>
      <c r="E919" t="s">
        <v>938</v>
      </c>
      <c r="F919" s="4">
        <v>64480</v>
      </c>
      <c r="G919" s="4">
        <v>76960</v>
      </c>
      <c r="H919" s="4">
        <f t="shared" si="14"/>
        <v>70720</v>
      </c>
      <c r="I919">
        <v>0</v>
      </c>
      <c r="J919">
        <v>0</v>
      </c>
      <c r="K919">
        <v>0</v>
      </c>
      <c r="L919">
        <v>0</v>
      </c>
      <c r="M919">
        <v>1</v>
      </c>
    </row>
    <row r="920" spans="1:13" x14ac:dyDescent="0.25">
      <c r="A920" t="s">
        <v>0</v>
      </c>
      <c r="B920" s="5">
        <v>5</v>
      </c>
      <c r="C920" t="s">
        <v>956</v>
      </c>
      <c r="D920" t="s">
        <v>957</v>
      </c>
      <c r="E920" t="s">
        <v>938</v>
      </c>
      <c r="F920" s="4">
        <v>86000</v>
      </c>
      <c r="G920" s="4">
        <v>130000</v>
      </c>
      <c r="H920" s="4">
        <f t="shared" si="14"/>
        <v>108000</v>
      </c>
      <c r="I920">
        <v>0</v>
      </c>
      <c r="J920">
        <v>0</v>
      </c>
      <c r="K920">
        <v>0</v>
      </c>
      <c r="L920">
        <v>0</v>
      </c>
      <c r="M920">
        <v>1</v>
      </c>
    </row>
    <row r="921" spans="1:13" x14ac:dyDescent="0.25">
      <c r="A921" t="s">
        <v>30</v>
      </c>
      <c r="B921" s="5">
        <v>3.6</v>
      </c>
      <c r="C921" t="s">
        <v>958</v>
      </c>
      <c r="D921" t="s">
        <v>959</v>
      </c>
      <c r="E921" t="s">
        <v>938</v>
      </c>
      <c r="F921" s="4">
        <v>141000</v>
      </c>
      <c r="G921" s="4">
        <v>254000</v>
      </c>
      <c r="H921" s="4">
        <f t="shared" si="14"/>
        <v>197500</v>
      </c>
      <c r="I921">
        <v>0</v>
      </c>
      <c r="J921">
        <v>0</v>
      </c>
      <c r="K921">
        <v>0</v>
      </c>
      <c r="L921">
        <v>0</v>
      </c>
      <c r="M921">
        <v>1</v>
      </c>
    </row>
    <row r="922" spans="1:13" x14ac:dyDescent="0.25">
      <c r="A922" t="s">
        <v>30</v>
      </c>
      <c r="B922" s="5">
        <v>2.2999999999999998</v>
      </c>
      <c r="C922" t="s">
        <v>960</v>
      </c>
      <c r="D922" t="s">
        <v>959</v>
      </c>
      <c r="E922" t="s">
        <v>938</v>
      </c>
      <c r="F922" s="4">
        <v>124800</v>
      </c>
      <c r="G922" s="4">
        <v>124800</v>
      </c>
      <c r="H922" s="4">
        <f t="shared" si="14"/>
        <v>124800</v>
      </c>
      <c r="I922">
        <v>0</v>
      </c>
      <c r="J922">
        <v>0</v>
      </c>
      <c r="K922">
        <v>0</v>
      </c>
      <c r="L922">
        <v>0</v>
      </c>
      <c r="M922">
        <v>1</v>
      </c>
    </row>
    <row r="923" spans="1:13" x14ac:dyDescent="0.25">
      <c r="A923" t="s">
        <v>26</v>
      </c>
      <c r="B923" s="5">
        <v>4.2</v>
      </c>
      <c r="C923" t="s">
        <v>961</v>
      </c>
      <c r="D923" t="s">
        <v>959</v>
      </c>
      <c r="E923" t="s">
        <v>938</v>
      </c>
      <c r="F923" s="4">
        <v>105000</v>
      </c>
      <c r="G923" s="4">
        <v>148000</v>
      </c>
      <c r="H923" s="4">
        <f t="shared" si="14"/>
        <v>126500</v>
      </c>
      <c r="I923">
        <v>1</v>
      </c>
      <c r="J923">
        <v>1</v>
      </c>
      <c r="K923">
        <v>1</v>
      </c>
      <c r="L923">
        <v>1</v>
      </c>
      <c r="M923">
        <v>1</v>
      </c>
    </row>
    <row r="924" spans="1:13" x14ac:dyDescent="0.25">
      <c r="A924" t="s">
        <v>121</v>
      </c>
      <c r="B924" s="5">
        <v>3</v>
      </c>
      <c r="C924" t="s">
        <v>962</v>
      </c>
      <c r="D924" t="s">
        <v>959</v>
      </c>
      <c r="E924" t="s">
        <v>938</v>
      </c>
      <c r="F924" s="4">
        <v>100000</v>
      </c>
      <c r="G924" s="4">
        <v>150000</v>
      </c>
      <c r="H924" s="4">
        <f t="shared" si="14"/>
        <v>125000</v>
      </c>
      <c r="I924">
        <v>0</v>
      </c>
      <c r="J924">
        <v>0</v>
      </c>
      <c r="K924">
        <v>0</v>
      </c>
      <c r="L924">
        <v>0</v>
      </c>
      <c r="M924">
        <v>1</v>
      </c>
    </row>
    <row r="925" spans="1:13" x14ac:dyDescent="0.25">
      <c r="A925" t="s">
        <v>963</v>
      </c>
      <c r="B925" s="5">
        <v>4.0999999999999996</v>
      </c>
      <c r="C925" t="s">
        <v>964</v>
      </c>
      <c r="D925" t="s">
        <v>959</v>
      </c>
      <c r="E925" t="s">
        <v>938</v>
      </c>
      <c r="F925" s="4">
        <v>99000</v>
      </c>
      <c r="G925" s="4">
        <v>133000</v>
      </c>
      <c r="H925" s="4">
        <f t="shared" si="14"/>
        <v>116000</v>
      </c>
      <c r="I925">
        <v>0</v>
      </c>
      <c r="J925">
        <v>0</v>
      </c>
      <c r="K925">
        <v>0</v>
      </c>
      <c r="L925">
        <v>0</v>
      </c>
      <c r="M925">
        <v>1</v>
      </c>
    </row>
    <row r="926" spans="1:13" x14ac:dyDescent="0.25">
      <c r="A926" t="s">
        <v>0</v>
      </c>
      <c r="B926" s="5">
        <v>4</v>
      </c>
      <c r="C926" t="s">
        <v>965</v>
      </c>
      <c r="D926" t="s">
        <v>959</v>
      </c>
      <c r="E926" t="s">
        <v>938</v>
      </c>
      <c r="F926" s="4">
        <v>93000</v>
      </c>
      <c r="G926" s="4">
        <v>132000</v>
      </c>
      <c r="H926" s="4">
        <f t="shared" si="14"/>
        <v>112500</v>
      </c>
      <c r="I926">
        <v>0</v>
      </c>
      <c r="J926">
        <v>0</v>
      </c>
      <c r="K926">
        <v>0</v>
      </c>
      <c r="L926">
        <v>0</v>
      </c>
      <c r="M926">
        <v>1</v>
      </c>
    </row>
    <row r="927" spans="1:13" x14ac:dyDescent="0.25">
      <c r="A927" t="s">
        <v>0</v>
      </c>
      <c r="B927" s="5">
        <v>4</v>
      </c>
      <c r="C927" t="s">
        <v>966</v>
      </c>
      <c r="D927" t="s">
        <v>959</v>
      </c>
      <c r="E927" t="s">
        <v>938</v>
      </c>
      <c r="F927" s="4">
        <v>90000</v>
      </c>
      <c r="G927" s="4">
        <v>129000</v>
      </c>
      <c r="H927" s="4">
        <f t="shared" si="14"/>
        <v>109500</v>
      </c>
      <c r="I927">
        <v>1</v>
      </c>
      <c r="J927">
        <v>1</v>
      </c>
      <c r="K927">
        <v>0</v>
      </c>
      <c r="L927">
        <v>0</v>
      </c>
      <c r="M927">
        <v>1</v>
      </c>
    </row>
    <row r="928" spans="1:13" x14ac:dyDescent="0.25">
      <c r="A928" t="s">
        <v>967</v>
      </c>
      <c r="B928" s="5">
        <v>3.9</v>
      </c>
      <c r="C928" t="s">
        <v>968</v>
      </c>
      <c r="D928" t="s">
        <v>959</v>
      </c>
      <c r="E928" t="s">
        <v>938</v>
      </c>
      <c r="F928" s="4">
        <v>83000</v>
      </c>
      <c r="G928" s="4">
        <v>83000</v>
      </c>
      <c r="H928" s="4">
        <f t="shared" si="14"/>
        <v>83000</v>
      </c>
      <c r="I928">
        <v>0</v>
      </c>
      <c r="J928">
        <v>0</v>
      </c>
      <c r="K928">
        <v>0</v>
      </c>
      <c r="L928">
        <v>0</v>
      </c>
      <c r="M928">
        <v>1</v>
      </c>
    </row>
    <row r="929" spans="1:13" x14ac:dyDescent="0.25">
      <c r="A929" t="s">
        <v>969</v>
      </c>
      <c r="B929" s="5">
        <v>3.9</v>
      </c>
      <c r="C929" t="s">
        <v>970</v>
      </c>
      <c r="D929" t="s">
        <v>959</v>
      </c>
      <c r="E929" t="s">
        <v>938</v>
      </c>
      <c r="F929" s="4">
        <v>81000</v>
      </c>
      <c r="G929" s="4">
        <v>112000</v>
      </c>
      <c r="H929" s="4">
        <f t="shared" si="14"/>
        <v>96500</v>
      </c>
      <c r="I929">
        <v>0</v>
      </c>
      <c r="J929">
        <v>1</v>
      </c>
      <c r="K929">
        <v>0</v>
      </c>
      <c r="L929">
        <v>0</v>
      </c>
      <c r="M929">
        <v>1</v>
      </c>
    </row>
    <row r="930" spans="1:13" x14ac:dyDescent="0.25">
      <c r="A930" t="s">
        <v>971</v>
      </c>
      <c r="B930" s="5">
        <v>3.7</v>
      </c>
      <c r="C930" t="s">
        <v>411</v>
      </c>
      <c r="D930" t="s">
        <v>972</v>
      </c>
      <c r="E930" t="s">
        <v>938</v>
      </c>
      <c r="F930" s="4">
        <v>115000</v>
      </c>
      <c r="G930" s="4">
        <v>167000</v>
      </c>
      <c r="H930" s="4">
        <f t="shared" si="14"/>
        <v>141000</v>
      </c>
      <c r="I930">
        <v>0</v>
      </c>
      <c r="J930">
        <v>0</v>
      </c>
      <c r="K930">
        <v>0</v>
      </c>
      <c r="L930">
        <v>0</v>
      </c>
      <c r="M930">
        <v>1</v>
      </c>
    </row>
    <row r="931" spans="1:13" x14ac:dyDescent="0.25">
      <c r="A931" t="s">
        <v>973</v>
      </c>
      <c r="B931" s="5">
        <v>3.8</v>
      </c>
      <c r="C931" t="s">
        <v>352</v>
      </c>
      <c r="D931" t="s">
        <v>972</v>
      </c>
      <c r="E931" t="s">
        <v>938</v>
      </c>
      <c r="F931" s="4">
        <v>104000</v>
      </c>
      <c r="G931" s="4">
        <v>153000</v>
      </c>
      <c r="H931" s="4">
        <f t="shared" si="14"/>
        <v>128500</v>
      </c>
      <c r="I931">
        <v>0</v>
      </c>
      <c r="J931">
        <v>0</v>
      </c>
      <c r="K931">
        <v>0</v>
      </c>
      <c r="L931">
        <v>0</v>
      </c>
      <c r="M931">
        <v>1</v>
      </c>
    </row>
    <row r="932" spans="1:13" x14ac:dyDescent="0.25">
      <c r="A932" t="s">
        <v>974</v>
      </c>
      <c r="B932" s="5">
        <v>4.2</v>
      </c>
      <c r="C932" t="s">
        <v>975</v>
      </c>
      <c r="D932" t="s">
        <v>972</v>
      </c>
      <c r="E932" t="s">
        <v>938</v>
      </c>
      <c r="F932" s="4">
        <v>101000</v>
      </c>
      <c r="G932" s="4">
        <v>142000</v>
      </c>
      <c r="H932" s="4">
        <f t="shared" si="14"/>
        <v>121500</v>
      </c>
      <c r="I932">
        <v>0</v>
      </c>
      <c r="J932">
        <v>0</v>
      </c>
      <c r="K932">
        <v>0</v>
      </c>
      <c r="L932">
        <v>0</v>
      </c>
      <c r="M932">
        <v>1</v>
      </c>
    </row>
    <row r="933" spans="1:13" x14ac:dyDescent="0.25">
      <c r="A933" t="s">
        <v>0</v>
      </c>
      <c r="B933" s="5">
        <v>5</v>
      </c>
      <c r="C933" t="s">
        <v>976</v>
      </c>
      <c r="D933" t="s">
        <v>972</v>
      </c>
      <c r="E933" t="s">
        <v>938</v>
      </c>
      <c r="F933" s="4">
        <v>80000</v>
      </c>
      <c r="G933" s="4">
        <v>122000</v>
      </c>
      <c r="H933" s="4">
        <f t="shared" si="14"/>
        <v>101000</v>
      </c>
      <c r="I933">
        <v>1</v>
      </c>
      <c r="J933">
        <v>0</v>
      </c>
      <c r="K933">
        <v>0</v>
      </c>
      <c r="L933">
        <v>0</v>
      </c>
      <c r="M933">
        <v>1</v>
      </c>
    </row>
    <row r="934" spans="1:13" x14ac:dyDescent="0.25">
      <c r="A934" t="s">
        <v>977</v>
      </c>
      <c r="B934" s="5">
        <v>3.3</v>
      </c>
      <c r="C934" t="s">
        <v>978</v>
      </c>
      <c r="D934" t="s">
        <v>972</v>
      </c>
      <c r="E934" t="s">
        <v>938</v>
      </c>
      <c r="F934" s="4">
        <v>80000</v>
      </c>
      <c r="G934" s="4">
        <v>125000</v>
      </c>
      <c r="H934" s="4">
        <f t="shared" si="14"/>
        <v>102500</v>
      </c>
      <c r="I934">
        <v>0</v>
      </c>
      <c r="J934">
        <v>1</v>
      </c>
      <c r="K934">
        <v>0</v>
      </c>
      <c r="L934">
        <v>0</v>
      </c>
      <c r="M934">
        <v>1</v>
      </c>
    </row>
    <row r="935" spans="1:13" x14ac:dyDescent="0.25">
      <c r="A935" t="s">
        <v>0</v>
      </c>
      <c r="B935" s="5">
        <v>3.1</v>
      </c>
      <c r="C935" t="s">
        <v>979</v>
      </c>
      <c r="D935" t="s">
        <v>980</v>
      </c>
      <c r="E935" t="s">
        <v>938</v>
      </c>
      <c r="F935" s="4">
        <v>140000</v>
      </c>
      <c r="G935" s="4">
        <v>160000</v>
      </c>
      <c r="H935" s="4">
        <f t="shared" si="14"/>
        <v>150000</v>
      </c>
      <c r="I935">
        <v>0</v>
      </c>
      <c r="J935">
        <v>0</v>
      </c>
      <c r="K935">
        <v>0</v>
      </c>
      <c r="L935">
        <v>0</v>
      </c>
      <c r="M935">
        <v>1</v>
      </c>
    </row>
    <row r="936" spans="1:13" x14ac:dyDescent="0.25">
      <c r="A936" t="s">
        <v>110</v>
      </c>
      <c r="B936" s="5">
        <v>3.2</v>
      </c>
      <c r="C936" t="s">
        <v>981</v>
      </c>
      <c r="D936" t="s">
        <v>980</v>
      </c>
      <c r="E936" t="s">
        <v>938</v>
      </c>
      <c r="F936" s="4">
        <v>124000</v>
      </c>
      <c r="G936" s="4">
        <v>167000</v>
      </c>
      <c r="H936" s="4">
        <f t="shared" si="14"/>
        <v>145500</v>
      </c>
      <c r="I936">
        <v>1</v>
      </c>
      <c r="J936">
        <v>1</v>
      </c>
      <c r="K936">
        <v>0</v>
      </c>
      <c r="L936">
        <v>0</v>
      </c>
      <c r="M936">
        <v>1</v>
      </c>
    </row>
    <row r="937" spans="1:13" x14ac:dyDescent="0.25">
      <c r="A937" t="s">
        <v>982</v>
      </c>
      <c r="B937" s="5">
        <v>4.0999999999999996</v>
      </c>
      <c r="C937" t="s">
        <v>983</v>
      </c>
      <c r="D937" t="s">
        <v>984</v>
      </c>
      <c r="E937" t="s">
        <v>938</v>
      </c>
      <c r="F937" s="4">
        <v>64000</v>
      </c>
      <c r="G937" s="4">
        <v>103000</v>
      </c>
      <c r="H937" s="4">
        <f t="shared" si="14"/>
        <v>83500</v>
      </c>
      <c r="I937">
        <v>0</v>
      </c>
      <c r="J937">
        <v>0</v>
      </c>
      <c r="K937">
        <v>0</v>
      </c>
      <c r="L937">
        <v>0</v>
      </c>
      <c r="M937">
        <v>1</v>
      </c>
    </row>
    <row r="938" spans="1:13" x14ac:dyDescent="0.25">
      <c r="A938" t="s">
        <v>985</v>
      </c>
      <c r="B938" s="5">
        <v>4</v>
      </c>
      <c r="C938" t="s">
        <v>727</v>
      </c>
      <c r="D938" t="s">
        <v>986</v>
      </c>
      <c r="E938" t="s">
        <v>938</v>
      </c>
      <c r="F938" s="4">
        <v>145000</v>
      </c>
      <c r="G938" s="4">
        <v>210000</v>
      </c>
      <c r="H938" s="4">
        <f t="shared" si="14"/>
        <v>177500</v>
      </c>
      <c r="I938">
        <v>0</v>
      </c>
      <c r="J938">
        <v>0</v>
      </c>
      <c r="K938">
        <v>0</v>
      </c>
      <c r="L938">
        <v>0</v>
      </c>
      <c r="M938">
        <v>1</v>
      </c>
    </row>
    <row r="939" spans="1:13" x14ac:dyDescent="0.25">
      <c r="A939" t="s">
        <v>17</v>
      </c>
      <c r="C939" t="s">
        <v>987</v>
      </c>
      <c r="D939" t="s">
        <v>986</v>
      </c>
      <c r="E939" t="s">
        <v>938</v>
      </c>
      <c r="F939" s="4">
        <v>100000</v>
      </c>
      <c r="G939" s="4">
        <v>100000</v>
      </c>
      <c r="H939" s="4">
        <f t="shared" si="14"/>
        <v>100000</v>
      </c>
      <c r="I939">
        <v>0</v>
      </c>
      <c r="J939">
        <v>0</v>
      </c>
      <c r="K939">
        <v>0</v>
      </c>
      <c r="L939">
        <v>0</v>
      </c>
      <c r="M939">
        <v>1</v>
      </c>
    </row>
    <row r="940" spans="1:13" x14ac:dyDescent="0.25">
      <c r="A940" t="s">
        <v>0</v>
      </c>
      <c r="C940" t="s">
        <v>988</v>
      </c>
      <c r="D940" t="s">
        <v>986</v>
      </c>
      <c r="E940" t="s">
        <v>938</v>
      </c>
      <c r="F940" s="4">
        <v>89000</v>
      </c>
      <c r="G940" s="4">
        <v>128000</v>
      </c>
      <c r="H940" s="4">
        <f t="shared" si="14"/>
        <v>108500</v>
      </c>
      <c r="I940">
        <v>1</v>
      </c>
      <c r="J940">
        <v>1</v>
      </c>
      <c r="K940">
        <v>0</v>
      </c>
      <c r="L940">
        <v>0</v>
      </c>
      <c r="M940">
        <v>1</v>
      </c>
    </row>
    <row r="941" spans="1:13" x14ac:dyDescent="0.25">
      <c r="A941" t="s">
        <v>989</v>
      </c>
      <c r="B941" s="5">
        <v>3.8</v>
      </c>
      <c r="C941" t="s">
        <v>990</v>
      </c>
      <c r="D941" t="s">
        <v>986</v>
      </c>
      <c r="E941" t="s">
        <v>938</v>
      </c>
      <c r="F941" s="4">
        <v>88000</v>
      </c>
      <c r="G941" s="4">
        <v>133000</v>
      </c>
      <c r="H941" s="4">
        <f t="shared" si="14"/>
        <v>110500</v>
      </c>
      <c r="I941">
        <v>0</v>
      </c>
      <c r="J941">
        <v>0</v>
      </c>
      <c r="K941">
        <v>0</v>
      </c>
      <c r="L941">
        <v>0</v>
      </c>
      <c r="M941">
        <v>1</v>
      </c>
    </row>
    <row r="942" spans="1:13" x14ac:dyDescent="0.25">
      <c r="A942" t="s">
        <v>991</v>
      </c>
      <c r="B942" s="5">
        <v>4.2</v>
      </c>
      <c r="C942" t="s">
        <v>992</v>
      </c>
      <c r="D942" t="s">
        <v>993</v>
      </c>
      <c r="E942" t="s">
        <v>938</v>
      </c>
      <c r="F942" s="4">
        <v>116000</v>
      </c>
      <c r="G942" s="4">
        <v>150000</v>
      </c>
      <c r="H942" s="4">
        <f t="shared" si="14"/>
        <v>133000</v>
      </c>
      <c r="I942">
        <v>0</v>
      </c>
      <c r="J942">
        <v>0</v>
      </c>
      <c r="K942">
        <v>0</v>
      </c>
      <c r="L942">
        <v>0</v>
      </c>
      <c r="M942">
        <v>1</v>
      </c>
    </row>
    <row r="943" spans="1:13" x14ac:dyDescent="0.25">
      <c r="A943" t="s">
        <v>30</v>
      </c>
      <c r="B943" s="5">
        <v>3.7</v>
      </c>
      <c r="C943" t="s">
        <v>994</v>
      </c>
      <c r="D943" t="s">
        <v>993</v>
      </c>
      <c r="E943" t="s">
        <v>938</v>
      </c>
      <c r="F943" s="4">
        <v>105000</v>
      </c>
      <c r="G943" s="4">
        <v>120000</v>
      </c>
      <c r="H943" s="4">
        <f t="shared" si="14"/>
        <v>112500</v>
      </c>
      <c r="I943">
        <v>0</v>
      </c>
      <c r="J943">
        <v>1</v>
      </c>
      <c r="K943">
        <v>0</v>
      </c>
      <c r="L943">
        <v>0</v>
      </c>
      <c r="M943">
        <v>1</v>
      </c>
    </row>
    <row r="944" spans="1:13" x14ac:dyDescent="0.25">
      <c r="A944" t="s">
        <v>0</v>
      </c>
      <c r="B944" s="5">
        <v>4</v>
      </c>
      <c r="C944" t="s">
        <v>995</v>
      </c>
      <c r="D944" t="s">
        <v>993</v>
      </c>
      <c r="E944" t="s">
        <v>938</v>
      </c>
      <c r="F944" s="4">
        <v>83000</v>
      </c>
      <c r="G944" s="4">
        <v>123000</v>
      </c>
      <c r="H944" s="4">
        <f t="shared" si="14"/>
        <v>103000</v>
      </c>
      <c r="I944">
        <v>0</v>
      </c>
      <c r="J944">
        <v>0</v>
      </c>
      <c r="K944">
        <v>0</v>
      </c>
      <c r="L944">
        <v>0</v>
      </c>
      <c r="M944">
        <v>1</v>
      </c>
    </row>
    <row r="945" spans="1:13" x14ac:dyDescent="0.25">
      <c r="A945" t="s">
        <v>0</v>
      </c>
      <c r="B945" s="5">
        <v>3.9</v>
      </c>
      <c r="C945" t="s">
        <v>996</v>
      </c>
      <c r="D945" t="s">
        <v>993</v>
      </c>
      <c r="E945" t="s">
        <v>938</v>
      </c>
      <c r="F945" s="4">
        <v>81000</v>
      </c>
      <c r="G945" s="4">
        <v>120000</v>
      </c>
      <c r="H945" s="4">
        <f t="shared" si="14"/>
        <v>100500</v>
      </c>
      <c r="I945">
        <v>0</v>
      </c>
      <c r="J945">
        <v>0</v>
      </c>
      <c r="K945">
        <v>0</v>
      </c>
      <c r="L945">
        <v>0</v>
      </c>
      <c r="M945">
        <v>1</v>
      </c>
    </row>
    <row r="946" spans="1:13" x14ac:dyDescent="0.25">
      <c r="A946" t="s">
        <v>0</v>
      </c>
      <c r="B946" s="5">
        <v>3</v>
      </c>
      <c r="C946" t="s">
        <v>997</v>
      </c>
      <c r="D946" t="s">
        <v>998</v>
      </c>
      <c r="E946" t="s">
        <v>938</v>
      </c>
      <c r="F946" s="4">
        <v>80000</v>
      </c>
      <c r="G946" s="4">
        <v>122000</v>
      </c>
      <c r="H946" s="4">
        <f t="shared" si="14"/>
        <v>101000</v>
      </c>
      <c r="I946">
        <v>0</v>
      </c>
      <c r="J946">
        <v>0</v>
      </c>
      <c r="K946">
        <v>0</v>
      </c>
      <c r="L946">
        <v>0</v>
      </c>
      <c r="M946">
        <v>1</v>
      </c>
    </row>
    <row r="947" spans="1:13" x14ac:dyDescent="0.25">
      <c r="A947" t="s">
        <v>639</v>
      </c>
      <c r="B947" s="5">
        <v>4.2</v>
      </c>
      <c r="C947" t="s">
        <v>999</v>
      </c>
      <c r="D947" t="s">
        <v>1000</v>
      </c>
      <c r="E947" t="s">
        <v>938</v>
      </c>
      <c r="F947" s="4">
        <v>84000</v>
      </c>
      <c r="G947" s="4">
        <v>127000</v>
      </c>
      <c r="H947" s="4">
        <f t="shared" si="14"/>
        <v>105500</v>
      </c>
      <c r="I947">
        <v>0</v>
      </c>
      <c r="J947">
        <v>0</v>
      </c>
      <c r="K947">
        <v>0</v>
      </c>
      <c r="L947">
        <v>0</v>
      </c>
      <c r="M947">
        <v>1</v>
      </c>
    </row>
    <row r="948" spans="1:13" x14ac:dyDescent="0.25">
      <c r="A948" t="s">
        <v>639</v>
      </c>
      <c r="B948" s="5">
        <v>4.2</v>
      </c>
      <c r="C948" t="s">
        <v>999</v>
      </c>
      <c r="D948" t="s">
        <v>1000</v>
      </c>
      <c r="E948" t="s">
        <v>938</v>
      </c>
      <c r="F948" s="4">
        <v>84000</v>
      </c>
      <c r="G948" s="4">
        <v>127000</v>
      </c>
      <c r="H948" s="4">
        <f t="shared" si="14"/>
        <v>105500</v>
      </c>
      <c r="I948">
        <v>0</v>
      </c>
      <c r="J948">
        <v>0</v>
      </c>
      <c r="K948">
        <v>0</v>
      </c>
      <c r="L948">
        <v>0</v>
      </c>
      <c r="M948">
        <v>1</v>
      </c>
    </row>
    <row r="949" spans="1:13" x14ac:dyDescent="0.25">
      <c r="A949" t="s">
        <v>639</v>
      </c>
      <c r="B949" s="5">
        <v>4.2</v>
      </c>
      <c r="C949" t="s">
        <v>999</v>
      </c>
      <c r="D949" t="s">
        <v>1000</v>
      </c>
      <c r="E949" t="s">
        <v>938</v>
      </c>
      <c r="F949" s="4">
        <v>76000</v>
      </c>
      <c r="G949" s="4">
        <v>115000</v>
      </c>
      <c r="H949" s="4">
        <f t="shared" si="14"/>
        <v>95500</v>
      </c>
      <c r="I949">
        <v>0</v>
      </c>
      <c r="J949">
        <v>0</v>
      </c>
      <c r="K949">
        <v>0</v>
      </c>
      <c r="L949">
        <v>0</v>
      </c>
      <c r="M949">
        <v>1</v>
      </c>
    </row>
    <row r="950" spans="1:13" x14ac:dyDescent="0.25">
      <c r="A950" t="s">
        <v>1001</v>
      </c>
      <c r="B950" s="5">
        <v>3.9</v>
      </c>
      <c r="C950" t="s">
        <v>1002</v>
      </c>
      <c r="D950" t="s">
        <v>1003</v>
      </c>
      <c r="E950" t="s">
        <v>938</v>
      </c>
      <c r="F950" s="4">
        <v>48000</v>
      </c>
      <c r="G950" s="4">
        <v>78000</v>
      </c>
      <c r="H950" s="4">
        <f t="shared" si="14"/>
        <v>63000</v>
      </c>
      <c r="I950">
        <v>0</v>
      </c>
      <c r="J950">
        <v>0</v>
      </c>
      <c r="K950">
        <v>0</v>
      </c>
      <c r="L950">
        <v>0</v>
      </c>
      <c r="M950">
        <v>1</v>
      </c>
    </row>
    <row r="951" spans="1:13" x14ac:dyDescent="0.25">
      <c r="A951" t="s">
        <v>84</v>
      </c>
      <c r="B951" s="5">
        <v>4.3</v>
      </c>
      <c r="C951" t="s">
        <v>931</v>
      </c>
      <c r="D951" t="s">
        <v>1004</v>
      </c>
      <c r="E951" t="s">
        <v>938</v>
      </c>
      <c r="F951" s="4">
        <v>130000</v>
      </c>
      <c r="G951" s="4">
        <v>218000</v>
      </c>
      <c r="H951" s="4">
        <f t="shared" si="14"/>
        <v>174000</v>
      </c>
      <c r="I951">
        <v>0</v>
      </c>
      <c r="J951">
        <v>0</v>
      </c>
      <c r="K951">
        <v>0</v>
      </c>
      <c r="L951">
        <v>0</v>
      </c>
      <c r="M951">
        <v>1</v>
      </c>
    </row>
    <row r="952" spans="1:13" x14ac:dyDescent="0.25">
      <c r="A952" t="s">
        <v>0</v>
      </c>
      <c r="B952" s="5">
        <v>3.6</v>
      </c>
      <c r="C952" t="s">
        <v>1005</v>
      </c>
      <c r="D952" t="s">
        <v>1006</v>
      </c>
      <c r="E952" t="s">
        <v>263</v>
      </c>
      <c r="F952" s="4">
        <v>59000</v>
      </c>
      <c r="G952" s="4">
        <v>93000</v>
      </c>
      <c r="H952" s="4">
        <f t="shared" si="14"/>
        <v>76000</v>
      </c>
      <c r="I952">
        <v>0</v>
      </c>
      <c r="J952">
        <v>0</v>
      </c>
      <c r="K952">
        <v>0</v>
      </c>
      <c r="L952">
        <v>0</v>
      </c>
      <c r="M952">
        <v>1</v>
      </c>
    </row>
    <row r="953" spans="1:13" x14ac:dyDescent="0.25">
      <c r="A953" t="s">
        <v>1007</v>
      </c>
      <c r="B953" s="5">
        <v>3.7</v>
      </c>
      <c r="C953" t="s">
        <v>1008</v>
      </c>
      <c r="D953" t="s">
        <v>1009</v>
      </c>
      <c r="E953" t="s">
        <v>263</v>
      </c>
      <c r="F953" s="4">
        <v>178000</v>
      </c>
      <c r="G953" s="4">
        <v>178000</v>
      </c>
      <c r="H953" s="4">
        <f t="shared" si="14"/>
        <v>178000</v>
      </c>
      <c r="I953">
        <v>0</v>
      </c>
      <c r="J953">
        <v>0</v>
      </c>
      <c r="K953">
        <v>0</v>
      </c>
      <c r="L953">
        <v>0</v>
      </c>
      <c r="M953">
        <v>1</v>
      </c>
    </row>
    <row r="954" spans="1:13" x14ac:dyDescent="0.25">
      <c r="A954" t="s">
        <v>0</v>
      </c>
      <c r="B954" s="5">
        <v>3.3</v>
      </c>
      <c r="C954" t="s">
        <v>1010</v>
      </c>
      <c r="D954" t="s">
        <v>1011</v>
      </c>
      <c r="E954" t="s">
        <v>263</v>
      </c>
      <c r="F954" s="4">
        <v>83000</v>
      </c>
      <c r="G954" s="4">
        <v>95000</v>
      </c>
      <c r="H954" s="4">
        <f t="shared" si="14"/>
        <v>89000</v>
      </c>
      <c r="I954">
        <v>0</v>
      </c>
      <c r="J954">
        <v>0</v>
      </c>
      <c r="K954">
        <v>0</v>
      </c>
      <c r="L954">
        <v>0</v>
      </c>
      <c r="M954">
        <v>1</v>
      </c>
    </row>
    <row r="955" spans="1:13" x14ac:dyDescent="0.25">
      <c r="A955" t="s">
        <v>1012</v>
      </c>
      <c r="B955" s="5">
        <v>4.4000000000000004</v>
      </c>
      <c r="C955" t="s">
        <v>1013</v>
      </c>
      <c r="D955" t="s">
        <v>263</v>
      </c>
      <c r="E955" t="s">
        <v>263</v>
      </c>
      <c r="F955" s="4">
        <v>197000</v>
      </c>
      <c r="G955" s="4">
        <v>244000</v>
      </c>
      <c r="H955" s="4">
        <f t="shared" si="14"/>
        <v>220500</v>
      </c>
      <c r="I955">
        <v>0</v>
      </c>
      <c r="J955">
        <v>0</v>
      </c>
      <c r="K955">
        <v>0</v>
      </c>
      <c r="L955">
        <v>0</v>
      </c>
      <c r="M955">
        <v>1</v>
      </c>
    </row>
    <row r="956" spans="1:13" x14ac:dyDescent="0.25">
      <c r="A956" t="s">
        <v>1014</v>
      </c>
      <c r="B956" s="5">
        <v>2.9</v>
      </c>
      <c r="C956" t="s">
        <v>1015</v>
      </c>
      <c r="D956" t="s">
        <v>263</v>
      </c>
      <c r="E956" t="s">
        <v>263</v>
      </c>
      <c r="F956" s="4">
        <v>173000</v>
      </c>
      <c r="G956" s="4">
        <v>290000</v>
      </c>
      <c r="H956" s="4">
        <f t="shared" si="14"/>
        <v>231500</v>
      </c>
      <c r="I956">
        <v>0</v>
      </c>
      <c r="J956">
        <v>0</v>
      </c>
      <c r="K956">
        <v>0</v>
      </c>
      <c r="L956">
        <v>0</v>
      </c>
      <c r="M956">
        <v>1</v>
      </c>
    </row>
    <row r="957" spans="1:13" x14ac:dyDescent="0.25">
      <c r="A957" t="s">
        <v>84</v>
      </c>
      <c r="B957" s="5">
        <v>4.0999999999999996</v>
      </c>
      <c r="C957" t="s">
        <v>1016</v>
      </c>
      <c r="D957" t="s">
        <v>263</v>
      </c>
      <c r="E957" t="s">
        <v>263</v>
      </c>
      <c r="F957" s="4">
        <v>144000</v>
      </c>
      <c r="G957" s="4">
        <v>180000</v>
      </c>
      <c r="H957" s="4">
        <f t="shared" si="14"/>
        <v>162000</v>
      </c>
      <c r="I957">
        <v>0</v>
      </c>
      <c r="J957">
        <v>1</v>
      </c>
      <c r="K957">
        <v>0</v>
      </c>
      <c r="L957">
        <v>0</v>
      </c>
      <c r="M957">
        <v>1</v>
      </c>
    </row>
    <row r="958" spans="1:13" x14ac:dyDescent="0.25">
      <c r="A958" t="s">
        <v>30</v>
      </c>
      <c r="B958" s="5">
        <v>3.9</v>
      </c>
      <c r="C958" t="s">
        <v>1017</v>
      </c>
      <c r="D958" t="s">
        <v>263</v>
      </c>
      <c r="E958" t="s">
        <v>263</v>
      </c>
      <c r="F958" s="4">
        <v>132000</v>
      </c>
      <c r="G958" s="4">
        <v>217000</v>
      </c>
      <c r="H958" s="4">
        <f t="shared" si="14"/>
        <v>174500</v>
      </c>
      <c r="I958">
        <v>0</v>
      </c>
      <c r="J958">
        <v>0</v>
      </c>
      <c r="K958">
        <v>0</v>
      </c>
      <c r="L958">
        <v>0</v>
      </c>
      <c r="M958">
        <v>1</v>
      </c>
    </row>
    <row r="959" spans="1:13" x14ac:dyDescent="0.25">
      <c r="A959" t="s">
        <v>1018</v>
      </c>
      <c r="B959" s="5">
        <v>3.9</v>
      </c>
      <c r="C959" t="s">
        <v>1019</v>
      </c>
      <c r="D959" t="s">
        <v>263</v>
      </c>
      <c r="E959" t="s">
        <v>263</v>
      </c>
      <c r="F959" s="4">
        <v>109000</v>
      </c>
      <c r="G959" s="4">
        <v>163000</v>
      </c>
      <c r="H959" s="4">
        <f t="shared" si="14"/>
        <v>136000</v>
      </c>
      <c r="I959">
        <v>0</v>
      </c>
      <c r="J959">
        <v>0</v>
      </c>
      <c r="K959">
        <v>0</v>
      </c>
      <c r="L959">
        <v>0</v>
      </c>
      <c r="M959">
        <v>1</v>
      </c>
    </row>
    <row r="960" spans="1:13" x14ac:dyDescent="0.25">
      <c r="A960" t="s">
        <v>0</v>
      </c>
      <c r="B960" s="5">
        <v>3.9</v>
      </c>
      <c r="C960" t="s">
        <v>1017</v>
      </c>
      <c r="D960" t="s">
        <v>263</v>
      </c>
      <c r="E960" t="s">
        <v>263</v>
      </c>
      <c r="F960" s="4">
        <v>105000</v>
      </c>
      <c r="G960" s="4">
        <v>171000</v>
      </c>
      <c r="H960" s="4">
        <f t="shared" si="14"/>
        <v>138000</v>
      </c>
      <c r="I960">
        <v>0</v>
      </c>
      <c r="J960">
        <v>0</v>
      </c>
      <c r="K960">
        <v>0</v>
      </c>
      <c r="L960">
        <v>0</v>
      </c>
      <c r="M960">
        <v>1</v>
      </c>
    </row>
    <row r="961" spans="1:13" x14ac:dyDescent="0.25">
      <c r="A961" t="s">
        <v>0</v>
      </c>
      <c r="B961" s="5">
        <v>3.9</v>
      </c>
      <c r="C961" t="s">
        <v>1020</v>
      </c>
      <c r="D961" t="s">
        <v>263</v>
      </c>
      <c r="E961" t="s">
        <v>263</v>
      </c>
      <c r="F961" s="4">
        <v>105000</v>
      </c>
      <c r="G961" s="4">
        <v>157000</v>
      </c>
      <c r="H961" s="4">
        <f t="shared" si="14"/>
        <v>131000</v>
      </c>
      <c r="I961">
        <v>0</v>
      </c>
      <c r="J961">
        <v>0</v>
      </c>
      <c r="K961">
        <v>0</v>
      </c>
      <c r="L961">
        <v>0</v>
      </c>
      <c r="M961">
        <v>1</v>
      </c>
    </row>
    <row r="962" spans="1:13" x14ac:dyDescent="0.25">
      <c r="A962" t="s">
        <v>752</v>
      </c>
      <c r="B962" s="5">
        <v>3.8</v>
      </c>
      <c r="C962" t="s">
        <v>1021</v>
      </c>
      <c r="D962" t="s">
        <v>263</v>
      </c>
      <c r="E962" t="s">
        <v>263</v>
      </c>
      <c r="F962" s="4">
        <v>100000</v>
      </c>
      <c r="G962" s="4">
        <v>120000</v>
      </c>
      <c r="H962" s="4">
        <f t="shared" si="14"/>
        <v>110000</v>
      </c>
      <c r="I962">
        <v>0</v>
      </c>
      <c r="J962">
        <v>0</v>
      </c>
      <c r="K962">
        <v>0</v>
      </c>
      <c r="L962">
        <v>0</v>
      </c>
      <c r="M962">
        <v>1</v>
      </c>
    </row>
    <row r="963" spans="1:13" x14ac:dyDescent="0.25">
      <c r="A963" t="s">
        <v>0</v>
      </c>
      <c r="B963" s="5">
        <v>2.7</v>
      </c>
      <c r="C963" t="s">
        <v>1022</v>
      </c>
      <c r="D963" t="s">
        <v>263</v>
      </c>
      <c r="E963" t="s">
        <v>263</v>
      </c>
      <c r="F963" s="4">
        <v>96000</v>
      </c>
      <c r="G963" s="4">
        <v>134000</v>
      </c>
      <c r="H963" s="4">
        <f t="shared" ref="H963:H1026" si="15">(F963+G963)/2</f>
        <v>115000</v>
      </c>
      <c r="I963">
        <v>0</v>
      </c>
      <c r="J963">
        <v>0</v>
      </c>
      <c r="K963">
        <v>0</v>
      </c>
      <c r="L963">
        <v>0</v>
      </c>
      <c r="M963">
        <v>1</v>
      </c>
    </row>
    <row r="964" spans="1:13" x14ac:dyDescent="0.25">
      <c r="A964" t="s">
        <v>1023</v>
      </c>
      <c r="B964" s="5">
        <v>5</v>
      </c>
      <c r="C964" t="s">
        <v>1024</v>
      </c>
      <c r="D964" t="s">
        <v>263</v>
      </c>
      <c r="E964" t="s">
        <v>263</v>
      </c>
      <c r="F964" s="4">
        <v>90000</v>
      </c>
      <c r="G964" s="4">
        <v>140000</v>
      </c>
      <c r="H964" s="4">
        <f t="shared" si="15"/>
        <v>115000</v>
      </c>
      <c r="I964">
        <v>0</v>
      </c>
      <c r="J964">
        <v>0</v>
      </c>
      <c r="K964">
        <v>0</v>
      </c>
      <c r="L964">
        <v>0</v>
      </c>
      <c r="M964">
        <v>1</v>
      </c>
    </row>
    <row r="965" spans="1:13" x14ac:dyDescent="0.25">
      <c r="A965" t="s">
        <v>0</v>
      </c>
      <c r="B965" s="5">
        <v>4.4000000000000004</v>
      </c>
      <c r="C965" t="s">
        <v>1025</v>
      </c>
      <c r="D965" t="s">
        <v>1026</v>
      </c>
      <c r="E965" t="s">
        <v>1027</v>
      </c>
      <c r="F965" s="4">
        <v>100000</v>
      </c>
      <c r="G965" s="4">
        <v>151000</v>
      </c>
      <c r="H965" s="4">
        <f t="shared" si="15"/>
        <v>125500</v>
      </c>
      <c r="I965">
        <v>0</v>
      </c>
      <c r="J965">
        <v>0</v>
      </c>
      <c r="K965">
        <v>0</v>
      </c>
      <c r="L965">
        <v>0</v>
      </c>
      <c r="M965">
        <v>1</v>
      </c>
    </row>
    <row r="966" spans="1:13" x14ac:dyDescent="0.25">
      <c r="A966" t="s">
        <v>0</v>
      </c>
      <c r="B966" s="5">
        <v>3</v>
      </c>
      <c r="C966" t="s">
        <v>1028</v>
      </c>
      <c r="D966" t="s">
        <v>1029</v>
      </c>
      <c r="E966" t="s">
        <v>1027</v>
      </c>
      <c r="F966" s="4">
        <v>75000</v>
      </c>
      <c r="G966" s="4">
        <v>130000</v>
      </c>
      <c r="H966" s="4">
        <f t="shared" si="15"/>
        <v>102500</v>
      </c>
      <c r="I966">
        <v>0</v>
      </c>
      <c r="J966">
        <v>0</v>
      </c>
      <c r="K966">
        <v>0</v>
      </c>
      <c r="L966">
        <v>0</v>
      </c>
      <c r="M966">
        <v>1</v>
      </c>
    </row>
    <row r="967" spans="1:13" x14ac:dyDescent="0.25">
      <c r="A967" t="s">
        <v>0</v>
      </c>
      <c r="B967" s="5">
        <v>3</v>
      </c>
      <c r="C967" t="s">
        <v>1028</v>
      </c>
      <c r="D967" t="s">
        <v>1029</v>
      </c>
      <c r="E967" t="s">
        <v>1027</v>
      </c>
      <c r="F967" s="4">
        <v>75000</v>
      </c>
      <c r="G967" s="4">
        <v>130000</v>
      </c>
      <c r="H967" s="4">
        <f t="shared" si="15"/>
        <v>102500</v>
      </c>
      <c r="I967">
        <v>0</v>
      </c>
      <c r="J967">
        <v>0</v>
      </c>
      <c r="K967">
        <v>0</v>
      </c>
      <c r="L967">
        <v>0</v>
      </c>
      <c r="M967">
        <v>1</v>
      </c>
    </row>
    <row r="968" spans="1:13" x14ac:dyDescent="0.25">
      <c r="A968" t="s">
        <v>0</v>
      </c>
      <c r="B968" s="5">
        <v>3</v>
      </c>
      <c r="C968" t="s">
        <v>1028</v>
      </c>
      <c r="D968" t="s">
        <v>1029</v>
      </c>
      <c r="E968" t="s">
        <v>1027</v>
      </c>
      <c r="F968" s="4">
        <v>75000</v>
      </c>
      <c r="G968" s="4">
        <v>130000</v>
      </c>
      <c r="H968" s="4">
        <f t="shared" si="15"/>
        <v>102500</v>
      </c>
      <c r="I968">
        <v>0</v>
      </c>
      <c r="J968">
        <v>0</v>
      </c>
      <c r="K968">
        <v>0</v>
      </c>
      <c r="L968">
        <v>0</v>
      </c>
      <c r="M968">
        <v>1</v>
      </c>
    </row>
    <row r="969" spans="1:13" x14ac:dyDescent="0.25">
      <c r="A969" t="s">
        <v>0</v>
      </c>
      <c r="B969" s="5">
        <v>3</v>
      </c>
      <c r="C969" t="s">
        <v>1028</v>
      </c>
      <c r="D969" t="s">
        <v>1029</v>
      </c>
      <c r="E969" t="s">
        <v>1027</v>
      </c>
      <c r="F969" s="4">
        <v>75000</v>
      </c>
      <c r="G969" s="4">
        <v>130000</v>
      </c>
      <c r="H969" s="4">
        <f t="shared" si="15"/>
        <v>102500</v>
      </c>
      <c r="I969">
        <v>0</v>
      </c>
      <c r="J969">
        <v>0</v>
      </c>
      <c r="K969">
        <v>0</v>
      </c>
      <c r="L969">
        <v>0</v>
      </c>
      <c r="M969">
        <v>1</v>
      </c>
    </row>
    <row r="970" spans="1:13" x14ac:dyDescent="0.25">
      <c r="A970" t="s">
        <v>0</v>
      </c>
      <c r="B970" s="5">
        <v>3</v>
      </c>
      <c r="C970" t="s">
        <v>1028</v>
      </c>
      <c r="D970" t="s">
        <v>1029</v>
      </c>
      <c r="E970" t="s">
        <v>1027</v>
      </c>
      <c r="F970" s="4">
        <v>75000</v>
      </c>
      <c r="G970" s="4">
        <v>130000</v>
      </c>
      <c r="H970" s="4">
        <f t="shared" si="15"/>
        <v>102500</v>
      </c>
      <c r="I970">
        <v>0</v>
      </c>
      <c r="J970">
        <v>0</v>
      </c>
      <c r="K970">
        <v>0</v>
      </c>
      <c r="L970">
        <v>0</v>
      </c>
      <c r="M970">
        <v>1</v>
      </c>
    </row>
    <row r="971" spans="1:13" x14ac:dyDescent="0.25">
      <c r="A971" t="s">
        <v>0</v>
      </c>
      <c r="B971" s="5">
        <v>3</v>
      </c>
      <c r="C971" t="s">
        <v>1028</v>
      </c>
      <c r="D971" t="s">
        <v>1029</v>
      </c>
      <c r="E971" t="s">
        <v>1027</v>
      </c>
      <c r="F971" s="4">
        <v>75000</v>
      </c>
      <c r="G971" s="4">
        <v>130000</v>
      </c>
      <c r="H971" s="4">
        <f t="shared" si="15"/>
        <v>102500</v>
      </c>
      <c r="I971">
        <v>0</v>
      </c>
      <c r="J971">
        <v>0</v>
      </c>
      <c r="K971">
        <v>0</v>
      </c>
      <c r="L971">
        <v>0</v>
      </c>
      <c r="M971">
        <v>1</v>
      </c>
    </row>
    <row r="972" spans="1:13" x14ac:dyDescent="0.25">
      <c r="A972" t="s">
        <v>0</v>
      </c>
      <c r="B972" s="5">
        <v>3</v>
      </c>
      <c r="C972" t="s">
        <v>1028</v>
      </c>
      <c r="D972" t="s">
        <v>1029</v>
      </c>
      <c r="E972" t="s">
        <v>1027</v>
      </c>
      <c r="F972" s="4">
        <v>75000</v>
      </c>
      <c r="G972" s="4">
        <v>130000</v>
      </c>
      <c r="H972" s="4">
        <f t="shared" si="15"/>
        <v>102500</v>
      </c>
      <c r="I972">
        <v>0</v>
      </c>
      <c r="J972">
        <v>0</v>
      </c>
      <c r="K972">
        <v>0</v>
      </c>
      <c r="L972">
        <v>0</v>
      </c>
      <c r="M972">
        <v>1</v>
      </c>
    </row>
    <row r="973" spans="1:13" x14ac:dyDescent="0.25">
      <c r="A973" t="s">
        <v>0</v>
      </c>
      <c r="B973" s="5">
        <v>3</v>
      </c>
      <c r="C973" t="s">
        <v>1028</v>
      </c>
      <c r="D973" t="s">
        <v>1029</v>
      </c>
      <c r="E973" t="s">
        <v>1027</v>
      </c>
      <c r="F973" s="4">
        <v>75000</v>
      </c>
      <c r="G973" s="4">
        <v>130000</v>
      </c>
      <c r="H973" s="4">
        <f t="shared" si="15"/>
        <v>102500</v>
      </c>
      <c r="I973">
        <v>0</v>
      </c>
      <c r="J973">
        <v>0</v>
      </c>
      <c r="K973">
        <v>0</v>
      </c>
      <c r="L973">
        <v>0</v>
      </c>
      <c r="M973">
        <v>1</v>
      </c>
    </row>
    <row r="974" spans="1:13" x14ac:dyDescent="0.25">
      <c r="A974" t="s">
        <v>0</v>
      </c>
      <c r="B974" s="5">
        <v>3</v>
      </c>
      <c r="C974" t="s">
        <v>1028</v>
      </c>
      <c r="D974" t="s">
        <v>1029</v>
      </c>
      <c r="E974" t="s">
        <v>1027</v>
      </c>
      <c r="F974" s="4">
        <v>75000</v>
      </c>
      <c r="G974" s="4">
        <v>130000</v>
      </c>
      <c r="H974" s="4">
        <f t="shared" si="15"/>
        <v>102500</v>
      </c>
      <c r="I974">
        <v>0</v>
      </c>
      <c r="J974">
        <v>0</v>
      </c>
      <c r="K974">
        <v>0</v>
      </c>
      <c r="L974">
        <v>0</v>
      </c>
      <c r="M974">
        <v>1</v>
      </c>
    </row>
    <row r="975" spans="1:13" x14ac:dyDescent="0.25">
      <c r="A975" t="s">
        <v>0</v>
      </c>
      <c r="B975" s="5">
        <v>3</v>
      </c>
      <c r="C975" t="s">
        <v>1028</v>
      </c>
      <c r="D975" t="s">
        <v>1029</v>
      </c>
      <c r="E975" t="s">
        <v>1027</v>
      </c>
      <c r="F975" s="4">
        <v>75000</v>
      </c>
      <c r="G975" s="4">
        <v>130000</v>
      </c>
      <c r="H975" s="4">
        <f t="shared" si="15"/>
        <v>102500</v>
      </c>
      <c r="I975">
        <v>0</v>
      </c>
      <c r="J975">
        <v>0</v>
      </c>
      <c r="K975">
        <v>0</v>
      </c>
      <c r="L975">
        <v>0</v>
      </c>
      <c r="M975">
        <v>1</v>
      </c>
    </row>
    <row r="976" spans="1:13" x14ac:dyDescent="0.25">
      <c r="A976" t="s">
        <v>0</v>
      </c>
      <c r="B976" s="5">
        <v>3</v>
      </c>
      <c r="C976" t="s">
        <v>1028</v>
      </c>
      <c r="D976" t="s">
        <v>1029</v>
      </c>
      <c r="E976" t="s">
        <v>1027</v>
      </c>
      <c r="F976" s="4">
        <v>75000</v>
      </c>
      <c r="G976" s="4">
        <v>130000</v>
      </c>
      <c r="H976" s="4">
        <f t="shared" si="15"/>
        <v>102500</v>
      </c>
      <c r="I976">
        <v>0</v>
      </c>
      <c r="J976">
        <v>0</v>
      </c>
      <c r="K976">
        <v>0</v>
      </c>
      <c r="L976">
        <v>0</v>
      </c>
      <c r="M976">
        <v>1</v>
      </c>
    </row>
    <row r="977" spans="1:13" x14ac:dyDescent="0.25">
      <c r="A977" t="s">
        <v>0</v>
      </c>
      <c r="B977" s="5">
        <v>3</v>
      </c>
      <c r="C977" t="s">
        <v>1028</v>
      </c>
      <c r="D977" t="s">
        <v>1029</v>
      </c>
      <c r="E977" t="s">
        <v>1027</v>
      </c>
      <c r="F977" s="4">
        <v>75000</v>
      </c>
      <c r="G977" s="4">
        <v>130000</v>
      </c>
      <c r="H977" s="4">
        <f t="shared" si="15"/>
        <v>102500</v>
      </c>
      <c r="I977">
        <v>0</v>
      </c>
      <c r="J977">
        <v>0</v>
      </c>
      <c r="K977">
        <v>0</v>
      </c>
      <c r="L977">
        <v>0</v>
      </c>
      <c r="M977">
        <v>1</v>
      </c>
    </row>
    <row r="978" spans="1:13" x14ac:dyDescent="0.25">
      <c r="A978" t="s">
        <v>0</v>
      </c>
      <c r="B978" s="5">
        <v>3</v>
      </c>
      <c r="C978" t="s">
        <v>1028</v>
      </c>
      <c r="D978" t="s">
        <v>1029</v>
      </c>
      <c r="E978" t="s">
        <v>1027</v>
      </c>
      <c r="F978" s="4">
        <v>75000</v>
      </c>
      <c r="G978" s="4">
        <v>130000</v>
      </c>
      <c r="H978" s="4">
        <f t="shared" si="15"/>
        <v>102500</v>
      </c>
      <c r="I978">
        <v>0</v>
      </c>
      <c r="J978">
        <v>0</v>
      </c>
      <c r="K978">
        <v>0</v>
      </c>
      <c r="L978">
        <v>0</v>
      </c>
      <c r="M978">
        <v>1</v>
      </c>
    </row>
    <row r="979" spans="1:13" x14ac:dyDescent="0.25">
      <c r="A979" t="s">
        <v>0</v>
      </c>
      <c r="B979" s="5">
        <v>3</v>
      </c>
      <c r="C979" t="s">
        <v>1028</v>
      </c>
      <c r="D979" t="s">
        <v>1029</v>
      </c>
      <c r="E979" t="s">
        <v>1027</v>
      </c>
      <c r="F979" s="4">
        <v>75000</v>
      </c>
      <c r="G979" s="4">
        <v>130000</v>
      </c>
      <c r="H979" s="4">
        <f t="shared" si="15"/>
        <v>102500</v>
      </c>
      <c r="I979">
        <v>0</v>
      </c>
      <c r="J979">
        <v>0</v>
      </c>
      <c r="K979">
        <v>0</v>
      </c>
      <c r="L979">
        <v>0</v>
      </c>
      <c r="M979">
        <v>1</v>
      </c>
    </row>
    <row r="980" spans="1:13" x14ac:dyDescent="0.25">
      <c r="A980" t="s">
        <v>0</v>
      </c>
      <c r="B980" s="5">
        <v>3</v>
      </c>
      <c r="C980" t="s">
        <v>1028</v>
      </c>
      <c r="D980" t="s">
        <v>1029</v>
      </c>
      <c r="E980" t="s">
        <v>1027</v>
      </c>
      <c r="F980" s="4">
        <v>75000</v>
      </c>
      <c r="G980" s="4">
        <v>130000</v>
      </c>
      <c r="H980" s="4">
        <f t="shared" si="15"/>
        <v>102500</v>
      </c>
      <c r="I980">
        <v>0</v>
      </c>
      <c r="J980">
        <v>0</v>
      </c>
      <c r="K980">
        <v>0</v>
      </c>
      <c r="L980">
        <v>0</v>
      </c>
      <c r="M980">
        <v>1</v>
      </c>
    </row>
    <row r="981" spans="1:13" x14ac:dyDescent="0.25">
      <c r="A981" t="s">
        <v>0</v>
      </c>
      <c r="B981" s="5">
        <v>3</v>
      </c>
      <c r="C981" t="s">
        <v>1028</v>
      </c>
      <c r="D981" t="s">
        <v>1029</v>
      </c>
      <c r="E981" t="s">
        <v>1027</v>
      </c>
      <c r="F981" s="4">
        <v>75000</v>
      </c>
      <c r="G981" s="4">
        <v>130000</v>
      </c>
      <c r="H981" s="4">
        <f t="shared" si="15"/>
        <v>102500</v>
      </c>
      <c r="I981">
        <v>0</v>
      </c>
      <c r="J981">
        <v>0</v>
      </c>
      <c r="K981">
        <v>0</v>
      </c>
      <c r="L981">
        <v>0</v>
      </c>
      <c r="M981">
        <v>1</v>
      </c>
    </row>
    <row r="982" spans="1:13" x14ac:dyDescent="0.25">
      <c r="A982" t="s">
        <v>0</v>
      </c>
      <c r="B982" s="5">
        <v>3</v>
      </c>
      <c r="C982" t="s">
        <v>1028</v>
      </c>
      <c r="D982" t="s">
        <v>1029</v>
      </c>
      <c r="E982" t="s">
        <v>1027</v>
      </c>
      <c r="F982" s="4">
        <v>75000</v>
      </c>
      <c r="G982" s="4">
        <v>130000</v>
      </c>
      <c r="H982" s="4">
        <f t="shared" si="15"/>
        <v>102500</v>
      </c>
      <c r="I982">
        <v>0</v>
      </c>
      <c r="J982">
        <v>0</v>
      </c>
      <c r="K982">
        <v>0</v>
      </c>
      <c r="L982">
        <v>0</v>
      </c>
      <c r="M982">
        <v>1</v>
      </c>
    </row>
    <row r="983" spans="1:13" x14ac:dyDescent="0.25">
      <c r="A983" t="s">
        <v>0</v>
      </c>
      <c r="B983" s="5">
        <v>3</v>
      </c>
      <c r="C983" t="s">
        <v>1028</v>
      </c>
      <c r="D983" t="s">
        <v>1029</v>
      </c>
      <c r="E983" t="s">
        <v>1027</v>
      </c>
      <c r="F983" s="4">
        <v>75000</v>
      </c>
      <c r="G983" s="4">
        <v>130000</v>
      </c>
      <c r="H983" s="4">
        <f t="shared" si="15"/>
        <v>102500</v>
      </c>
      <c r="I983">
        <v>0</v>
      </c>
      <c r="J983">
        <v>0</v>
      </c>
      <c r="K983">
        <v>0</v>
      </c>
      <c r="L983">
        <v>0</v>
      </c>
      <c r="M983">
        <v>1</v>
      </c>
    </row>
    <row r="984" spans="1:13" x14ac:dyDescent="0.25">
      <c r="A984" t="s">
        <v>1030</v>
      </c>
      <c r="B984" s="5">
        <v>3.5</v>
      </c>
      <c r="C984" t="s">
        <v>918</v>
      </c>
      <c r="D984" t="s">
        <v>1031</v>
      </c>
      <c r="E984" t="s">
        <v>1027</v>
      </c>
      <c r="F984" s="4">
        <v>113000</v>
      </c>
      <c r="G984" s="4">
        <v>159000</v>
      </c>
      <c r="H984" s="4">
        <f t="shared" si="15"/>
        <v>136000</v>
      </c>
      <c r="I984">
        <v>0</v>
      </c>
      <c r="J984">
        <v>0</v>
      </c>
      <c r="K984">
        <v>0</v>
      </c>
      <c r="L984">
        <v>0</v>
      </c>
      <c r="M984">
        <v>1</v>
      </c>
    </row>
    <row r="985" spans="1:13" x14ac:dyDescent="0.25">
      <c r="A985" t="s">
        <v>0</v>
      </c>
      <c r="B985" s="5">
        <v>4.5</v>
      </c>
      <c r="C985" t="s">
        <v>1032</v>
      </c>
      <c r="D985" t="s">
        <v>1031</v>
      </c>
      <c r="E985" t="s">
        <v>1027</v>
      </c>
      <c r="F985" s="4">
        <v>83000</v>
      </c>
      <c r="G985" s="4">
        <v>125000</v>
      </c>
      <c r="H985" s="4">
        <f t="shared" si="15"/>
        <v>104000</v>
      </c>
      <c r="I985">
        <v>0</v>
      </c>
      <c r="J985">
        <v>0</v>
      </c>
      <c r="K985">
        <v>0</v>
      </c>
      <c r="L985">
        <v>0</v>
      </c>
      <c r="M985">
        <v>1</v>
      </c>
    </row>
    <row r="986" spans="1:13" x14ac:dyDescent="0.25">
      <c r="A986" t="s">
        <v>0</v>
      </c>
      <c r="B986" s="5">
        <v>3.4</v>
      </c>
      <c r="C986" t="s">
        <v>1033</v>
      </c>
      <c r="D986" t="s">
        <v>1031</v>
      </c>
      <c r="E986" t="s">
        <v>1027</v>
      </c>
      <c r="F986" s="4">
        <v>82000</v>
      </c>
      <c r="G986" s="4">
        <v>121000</v>
      </c>
      <c r="H986" s="4">
        <f t="shared" si="15"/>
        <v>101500</v>
      </c>
      <c r="I986">
        <v>0</v>
      </c>
      <c r="J986">
        <v>0</v>
      </c>
      <c r="K986">
        <v>0</v>
      </c>
      <c r="L986">
        <v>0</v>
      </c>
      <c r="M986">
        <v>1</v>
      </c>
    </row>
    <row r="987" spans="1:13" x14ac:dyDescent="0.25">
      <c r="A987" t="s">
        <v>1034</v>
      </c>
      <c r="B987" s="5">
        <v>3.7</v>
      </c>
      <c r="C987" t="s">
        <v>1035</v>
      </c>
      <c r="D987" t="s">
        <v>1036</v>
      </c>
      <c r="E987" t="s">
        <v>1027</v>
      </c>
      <c r="F987" s="4">
        <v>116000</v>
      </c>
      <c r="G987" s="4">
        <v>151000</v>
      </c>
      <c r="H987" s="4">
        <f t="shared" si="15"/>
        <v>133500</v>
      </c>
      <c r="I987">
        <v>0</v>
      </c>
      <c r="J987">
        <v>0</v>
      </c>
      <c r="K987">
        <v>0</v>
      </c>
      <c r="L987">
        <v>0</v>
      </c>
      <c r="M987">
        <v>1</v>
      </c>
    </row>
    <row r="988" spans="1:13" x14ac:dyDescent="0.25">
      <c r="A988" t="s">
        <v>0</v>
      </c>
      <c r="B988" s="5">
        <v>5</v>
      </c>
      <c r="C988" t="s">
        <v>1037</v>
      </c>
      <c r="D988" t="s">
        <v>1036</v>
      </c>
      <c r="E988" t="s">
        <v>1027</v>
      </c>
      <c r="F988" s="4">
        <v>104000</v>
      </c>
      <c r="G988" s="4">
        <v>145000</v>
      </c>
      <c r="H988" s="4">
        <f t="shared" si="15"/>
        <v>124500</v>
      </c>
      <c r="I988">
        <v>0</v>
      </c>
      <c r="J988">
        <v>0</v>
      </c>
      <c r="K988">
        <v>0</v>
      </c>
      <c r="L988">
        <v>0</v>
      </c>
      <c r="M988">
        <v>1</v>
      </c>
    </row>
    <row r="989" spans="1:13" x14ac:dyDescent="0.25">
      <c r="A989" t="s">
        <v>121</v>
      </c>
      <c r="B989" s="5">
        <v>2.2000000000000002</v>
      </c>
      <c r="C989" t="s">
        <v>1038</v>
      </c>
      <c r="D989" t="s">
        <v>1036</v>
      </c>
      <c r="E989" t="s">
        <v>1027</v>
      </c>
      <c r="F989" s="4">
        <v>100000</v>
      </c>
      <c r="G989" s="4">
        <v>136000</v>
      </c>
      <c r="H989" s="4">
        <f t="shared" si="15"/>
        <v>118000</v>
      </c>
      <c r="I989">
        <v>0</v>
      </c>
      <c r="J989">
        <v>0</v>
      </c>
      <c r="K989">
        <v>0</v>
      </c>
      <c r="L989">
        <v>0</v>
      </c>
      <c r="M989">
        <v>1</v>
      </c>
    </row>
    <row r="990" spans="1:13" x14ac:dyDescent="0.25">
      <c r="A990" t="s">
        <v>1039</v>
      </c>
      <c r="B990" s="5">
        <v>2.8</v>
      </c>
      <c r="C990" t="s">
        <v>1040</v>
      </c>
      <c r="D990" t="s">
        <v>1036</v>
      </c>
      <c r="E990" t="s">
        <v>1027</v>
      </c>
      <c r="F990" s="4">
        <v>96000</v>
      </c>
      <c r="G990" s="4">
        <v>133000</v>
      </c>
      <c r="H990" s="4">
        <f t="shared" si="15"/>
        <v>114500</v>
      </c>
      <c r="I990">
        <v>0</v>
      </c>
      <c r="J990">
        <v>1</v>
      </c>
      <c r="K990">
        <v>0</v>
      </c>
      <c r="L990">
        <v>0</v>
      </c>
      <c r="M990">
        <v>1</v>
      </c>
    </row>
    <row r="991" spans="1:13" x14ac:dyDescent="0.25">
      <c r="A991" t="s">
        <v>0</v>
      </c>
      <c r="B991" s="5">
        <v>3.5</v>
      </c>
      <c r="C991" t="s">
        <v>1041</v>
      </c>
      <c r="D991" t="s">
        <v>1036</v>
      </c>
      <c r="E991" t="s">
        <v>1027</v>
      </c>
      <c r="F991" s="4">
        <v>77000</v>
      </c>
      <c r="G991" s="4">
        <v>124000</v>
      </c>
      <c r="H991" s="4">
        <f t="shared" si="15"/>
        <v>100500</v>
      </c>
      <c r="I991">
        <v>1</v>
      </c>
      <c r="J991">
        <v>1</v>
      </c>
      <c r="K991">
        <v>0</v>
      </c>
      <c r="L991">
        <v>0</v>
      </c>
      <c r="M991">
        <v>1</v>
      </c>
    </row>
    <row r="992" spans="1:13" x14ac:dyDescent="0.25">
      <c r="A992" t="s">
        <v>30</v>
      </c>
      <c r="B992" s="5">
        <v>4.5</v>
      </c>
      <c r="C992" t="s">
        <v>1042</v>
      </c>
      <c r="D992" t="s">
        <v>1043</v>
      </c>
      <c r="E992" t="s">
        <v>1044</v>
      </c>
      <c r="F992" s="4">
        <v>130000</v>
      </c>
      <c r="G992" s="4">
        <v>186000</v>
      </c>
      <c r="H992" s="4">
        <f t="shared" si="15"/>
        <v>158000</v>
      </c>
      <c r="I992">
        <v>0</v>
      </c>
      <c r="J992">
        <v>0</v>
      </c>
      <c r="K992">
        <v>0</v>
      </c>
      <c r="L992">
        <v>0</v>
      </c>
      <c r="M992">
        <v>1</v>
      </c>
    </row>
    <row r="993" spans="1:13" x14ac:dyDescent="0.25">
      <c r="A993" t="s">
        <v>1045</v>
      </c>
      <c r="B993" s="5">
        <v>3.5</v>
      </c>
      <c r="C993" t="s">
        <v>328</v>
      </c>
      <c r="D993" t="s">
        <v>1043</v>
      </c>
      <c r="E993" t="s">
        <v>1044</v>
      </c>
      <c r="F993" s="4">
        <v>113000</v>
      </c>
      <c r="G993" s="4">
        <v>155000</v>
      </c>
      <c r="H993" s="4">
        <f t="shared" si="15"/>
        <v>134000</v>
      </c>
      <c r="I993">
        <v>0</v>
      </c>
      <c r="J993">
        <v>0</v>
      </c>
      <c r="K993">
        <v>0</v>
      </c>
      <c r="L993">
        <v>0</v>
      </c>
      <c r="M993">
        <v>1</v>
      </c>
    </row>
    <row r="994" spans="1:13" x14ac:dyDescent="0.25">
      <c r="A994" t="s">
        <v>0</v>
      </c>
      <c r="B994" s="5">
        <v>4</v>
      </c>
      <c r="C994" t="s">
        <v>1046</v>
      </c>
      <c r="D994" t="s">
        <v>1043</v>
      </c>
      <c r="E994" t="s">
        <v>1044</v>
      </c>
      <c r="F994" s="4">
        <v>112000</v>
      </c>
      <c r="G994" s="4">
        <v>172000</v>
      </c>
      <c r="H994" s="4">
        <f t="shared" si="15"/>
        <v>142000</v>
      </c>
      <c r="I994">
        <v>0</v>
      </c>
      <c r="J994">
        <v>0</v>
      </c>
      <c r="K994">
        <v>0</v>
      </c>
      <c r="L994">
        <v>0</v>
      </c>
      <c r="M994">
        <v>1</v>
      </c>
    </row>
    <row r="995" spans="1:13" x14ac:dyDescent="0.25">
      <c r="A995" t="s">
        <v>1047</v>
      </c>
      <c r="B995" s="5">
        <v>3.7</v>
      </c>
      <c r="C995" t="s">
        <v>1048</v>
      </c>
      <c r="D995" t="s">
        <v>1043</v>
      </c>
      <c r="E995" t="s">
        <v>1044</v>
      </c>
      <c r="F995" s="4">
        <v>80000</v>
      </c>
      <c r="G995" s="4">
        <v>85000</v>
      </c>
      <c r="H995" s="4">
        <f t="shared" si="15"/>
        <v>82500</v>
      </c>
      <c r="I995">
        <v>0</v>
      </c>
      <c r="J995">
        <v>0</v>
      </c>
      <c r="K995">
        <v>0</v>
      </c>
      <c r="L995">
        <v>0</v>
      </c>
      <c r="M995">
        <v>1</v>
      </c>
    </row>
    <row r="996" spans="1:13" x14ac:dyDescent="0.25">
      <c r="A996" t="s">
        <v>84</v>
      </c>
      <c r="B996" s="5">
        <v>3.8</v>
      </c>
      <c r="C996" t="s">
        <v>710</v>
      </c>
      <c r="D996" t="s">
        <v>1049</v>
      </c>
      <c r="E996" t="s">
        <v>1044</v>
      </c>
      <c r="F996" s="4">
        <v>115000</v>
      </c>
      <c r="G996" s="4">
        <v>157000</v>
      </c>
      <c r="H996" s="4">
        <f t="shared" si="15"/>
        <v>136000</v>
      </c>
      <c r="I996">
        <v>0</v>
      </c>
      <c r="J996">
        <v>0</v>
      </c>
      <c r="K996">
        <v>0</v>
      </c>
      <c r="L996">
        <v>0</v>
      </c>
      <c r="M996">
        <v>1</v>
      </c>
    </row>
    <row r="997" spans="1:13" x14ac:dyDescent="0.25">
      <c r="A997" t="s">
        <v>1050</v>
      </c>
      <c r="C997" t="s">
        <v>1051</v>
      </c>
      <c r="D997" t="s">
        <v>1052</v>
      </c>
      <c r="E997" t="s">
        <v>1044</v>
      </c>
      <c r="F997" s="4">
        <v>96000</v>
      </c>
      <c r="G997" s="4">
        <v>142000</v>
      </c>
      <c r="H997" s="4">
        <f t="shared" si="15"/>
        <v>119000</v>
      </c>
      <c r="I997">
        <v>0</v>
      </c>
      <c r="J997">
        <v>0</v>
      </c>
      <c r="K997">
        <v>0</v>
      </c>
      <c r="L997">
        <v>0</v>
      </c>
      <c r="M997">
        <v>1</v>
      </c>
    </row>
    <row r="998" spans="1:13" x14ac:dyDescent="0.25">
      <c r="A998" t="s">
        <v>1050</v>
      </c>
      <c r="C998" t="s">
        <v>1051</v>
      </c>
      <c r="D998" t="s">
        <v>1052</v>
      </c>
      <c r="E998" t="s">
        <v>1044</v>
      </c>
      <c r="F998" s="4">
        <v>96000</v>
      </c>
      <c r="G998" s="4">
        <v>142000</v>
      </c>
      <c r="H998" s="4">
        <f t="shared" si="15"/>
        <v>119000</v>
      </c>
      <c r="I998">
        <v>0</v>
      </c>
      <c r="J998">
        <v>0</v>
      </c>
      <c r="K998">
        <v>0</v>
      </c>
      <c r="L998">
        <v>0</v>
      </c>
      <c r="M998">
        <v>1</v>
      </c>
    </row>
    <row r="999" spans="1:13" x14ac:dyDescent="0.25">
      <c r="A999" t="s">
        <v>30</v>
      </c>
      <c r="B999" s="5">
        <v>4.2</v>
      </c>
      <c r="C999" t="s">
        <v>1053</v>
      </c>
      <c r="D999" t="s">
        <v>1054</v>
      </c>
      <c r="E999" t="s">
        <v>1044</v>
      </c>
      <c r="F999" s="4">
        <v>113000</v>
      </c>
      <c r="G999" s="4">
        <v>159000</v>
      </c>
      <c r="H999" s="4">
        <f t="shared" si="15"/>
        <v>136000</v>
      </c>
      <c r="I999">
        <v>0</v>
      </c>
      <c r="J999">
        <v>1</v>
      </c>
      <c r="K999">
        <v>0</v>
      </c>
      <c r="L999">
        <v>0</v>
      </c>
      <c r="M999">
        <v>1</v>
      </c>
    </row>
    <row r="1000" spans="1:13" x14ac:dyDescent="0.25">
      <c r="A1000" t="s">
        <v>1055</v>
      </c>
      <c r="B1000" s="5">
        <v>5</v>
      </c>
      <c r="C1000" t="s">
        <v>1056</v>
      </c>
      <c r="D1000" t="s">
        <v>1054</v>
      </c>
      <c r="E1000" t="s">
        <v>1044</v>
      </c>
      <c r="F1000" s="4">
        <v>100000</v>
      </c>
      <c r="G1000" s="4">
        <v>136000</v>
      </c>
      <c r="H1000" s="4">
        <f t="shared" si="15"/>
        <v>118000</v>
      </c>
      <c r="I1000">
        <v>0</v>
      </c>
      <c r="J1000">
        <v>0</v>
      </c>
      <c r="K1000">
        <v>0</v>
      </c>
      <c r="L1000">
        <v>0</v>
      </c>
      <c r="M1000">
        <v>1</v>
      </c>
    </row>
    <row r="1001" spans="1:13" x14ac:dyDescent="0.25">
      <c r="A1001" t="s">
        <v>0</v>
      </c>
      <c r="B1001" s="5">
        <v>4.0999999999999996</v>
      </c>
      <c r="C1001" t="s">
        <v>1057</v>
      </c>
      <c r="D1001" t="s">
        <v>1054</v>
      </c>
      <c r="E1001" t="s">
        <v>1044</v>
      </c>
      <c r="F1001" s="4">
        <v>88000</v>
      </c>
      <c r="G1001" s="4">
        <v>132000</v>
      </c>
      <c r="H1001" s="4">
        <f t="shared" si="15"/>
        <v>110000</v>
      </c>
      <c r="I1001">
        <v>0</v>
      </c>
      <c r="J1001">
        <v>0</v>
      </c>
      <c r="K1001">
        <v>0</v>
      </c>
      <c r="L1001">
        <v>0</v>
      </c>
      <c r="M1001">
        <v>1</v>
      </c>
    </row>
    <row r="1002" spans="1:13" x14ac:dyDescent="0.25">
      <c r="A1002" t="s">
        <v>1058</v>
      </c>
      <c r="B1002" s="5">
        <v>4.5</v>
      </c>
      <c r="C1002" t="s">
        <v>1059</v>
      </c>
      <c r="D1002" t="s">
        <v>1054</v>
      </c>
      <c r="E1002" t="s">
        <v>1044</v>
      </c>
      <c r="F1002" s="4">
        <v>84000</v>
      </c>
      <c r="G1002" s="4">
        <v>147000</v>
      </c>
      <c r="H1002" s="4">
        <f t="shared" si="15"/>
        <v>115500</v>
      </c>
      <c r="I1002">
        <v>0</v>
      </c>
      <c r="J1002">
        <v>0</v>
      </c>
      <c r="K1002">
        <v>0</v>
      </c>
      <c r="L1002">
        <v>0</v>
      </c>
      <c r="M1002">
        <v>1</v>
      </c>
    </row>
    <row r="1003" spans="1:13" x14ac:dyDescent="0.25">
      <c r="A1003" t="s">
        <v>0</v>
      </c>
      <c r="B1003" s="5">
        <v>4.8</v>
      </c>
      <c r="C1003" t="s">
        <v>1060</v>
      </c>
      <c r="D1003" t="s">
        <v>1061</v>
      </c>
      <c r="E1003" t="s">
        <v>1044</v>
      </c>
      <c r="F1003" s="4">
        <v>130000</v>
      </c>
      <c r="G1003" s="4">
        <v>140000</v>
      </c>
      <c r="H1003" s="4">
        <f t="shared" si="15"/>
        <v>135000</v>
      </c>
      <c r="I1003">
        <v>0</v>
      </c>
      <c r="J1003">
        <v>0</v>
      </c>
      <c r="K1003">
        <v>0</v>
      </c>
      <c r="L1003">
        <v>0</v>
      </c>
      <c r="M1003">
        <v>1</v>
      </c>
    </row>
    <row r="1004" spans="1:13" x14ac:dyDescent="0.25">
      <c r="A1004" t="s">
        <v>0</v>
      </c>
      <c r="B1004" s="5">
        <v>5</v>
      </c>
      <c r="C1004" t="s">
        <v>1062</v>
      </c>
      <c r="D1004" t="s">
        <v>1061</v>
      </c>
      <c r="E1004" t="s">
        <v>1044</v>
      </c>
      <c r="F1004" s="4">
        <v>91000</v>
      </c>
      <c r="G1004" s="4">
        <v>121000</v>
      </c>
      <c r="H1004" s="4">
        <f t="shared" si="15"/>
        <v>106000</v>
      </c>
      <c r="I1004">
        <v>0</v>
      </c>
      <c r="J1004">
        <v>0</v>
      </c>
      <c r="K1004">
        <v>0</v>
      </c>
      <c r="L1004">
        <v>0</v>
      </c>
      <c r="M1004">
        <v>1</v>
      </c>
    </row>
    <row r="1005" spans="1:13" x14ac:dyDescent="0.25">
      <c r="A1005" t="s">
        <v>0</v>
      </c>
      <c r="B1005" s="5">
        <v>3</v>
      </c>
      <c r="C1005" t="s">
        <v>1063</v>
      </c>
      <c r="D1005" t="s">
        <v>1064</v>
      </c>
      <c r="E1005" t="s">
        <v>1044</v>
      </c>
      <c r="F1005" s="4">
        <v>84000</v>
      </c>
      <c r="G1005" s="4">
        <v>127000</v>
      </c>
      <c r="H1005" s="4">
        <f t="shared" si="15"/>
        <v>105500</v>
      </c>
      <c r="I1005">
        <v>0</v>
      </c>
      <c r="J1005">
        <v>0</v>
      </c>
      <c r="K1005">
        <v>0</v>
      </c>
      <c r="L1005">
        <v>0</v>
      </c>
      <c r="M1005">
        <v>1</v>
      </c>
    </row>
    <row r="1006" spans="1:13" x14ac:dyDescent="0.25">
      <c r="A1006" t="s">
        <v>0</v>
      </c>
      <c r="B1006" s="5">
        <v>3.6</v>
      </c>
      <c r="C1006" t="s">
        <v>1065</v>
      </c>
      <c r="D1006" t="s">
        <v>1066</v>
      </c>
      <c r="E1006" t="s">
        <v>1044</v>
      </c>
      <c r="F1006" s="4">
        <v>89000</v>
      </c>
      <c r="G1006" s="4">
        <v>126000</v>
      </c>
      <c r="H1006" s="4">
        <f t="shared" si="15"/>
        <v>107500</v>
      </c>
      <c r="I1006">
        <v>0</v>
      </c>
      <c r="J1006">
        <v>0</v>
      </c>
      <c r="K1006">
        <v>0</v>
      </c>
      <c r="L1006">
        <v>0</v>
      </c>
      <c r="M1006">
        <v>1</v>
      </c>
    </row>
    <row r="1007" spans="1:13" x14ac:dyDescent="0.25">
      <c r="A1007" t="s">
        <v>0</v>
      </c>
      <c r="B1007" s="5">
        <v>4.3</v>
      </c>
      <c r="C1007" t="s">
        <v>1067</v>
      </c>
      <c r="D1007" t="s">
        <v>1068</v>
      </c>
      <c r="E1007" t="s">
        <v>1044</v>
      </c>
      <c r="F1007" s="4">
        <v>100000</v>
      </c>
      <c r="G1007" s="4">
        <v>141000</v>
      </c>
      <c r="H1007" s="4">
        <f t="shared" si="15"/>
        <v>120500</v>
      </c>
      <c r="I1007">
        <v>0</v>
      </c>
      <c r="J1007">
        <v>1</v>
      </c>
      <c r="K1007">
        <v>0</v>
      </c>
      <c r="L1007">
        <v>0</v>
      </c>
      <c r="M1007">
        <v>1</v>
      </c>
    </row>
    <row r="1008" spans="1:13" x14ac:dyDescent="0.25">
      <c r="A1008" t="s">
        <v>408</v>
      </c>
      <c r="B1008" s="5">
        <v>4.7</v>
      </c>
      <c r="C1008" t="s">
        <v>1069</v>
      </c>
      <c r="D1008" t="s">
        <v>1070</v>
      </c>
      <c r="E1008" t="s">
        <v>1044</v>
      </c>
      <c r="F1008" s="4">
        <v>90000</v>
      </c>
      <c r="G1008" s="4">
        <v>142000</v>
      </c>
      <c r="H1008" s="4">
        <f t="shared" si="15"/>
        <v>116000</v>
      </c>
      <c r="I1008">
        <v>0</v>
      </c>
      <c r="J1008">
        <v>0</v>
      </c>
      <c r="K1008">
        <v>0</v>
      </c>
      <c r="L1008">
        <v>0</v>
      </c>
      <c r="M1008">
        <v>1</v>
      </c>
    </row>
    <row r="1009" spans="1:13" x14ac:dyDescent="0.25">
      <c r="A1009" t="s">
        <v>0</v>
      </c>
      <c r="B1009" s="5">
        <v>3.4</v>
      </c>
      <c r="C1009" t="s">
        <v>1071</v>
      </c>
      <c r="D1009" t="s">
        <v>1070</v>
      </c>
      <c r="E1009" t="s">
        <v>1044</v>
      </c>
      <c r="F1009" s="4">
        <v>81000</v>
      </c>
      <c r="G1009" s="4">
        <v>126000</v>
      </c>
      <c r="H1009" s="4">
        <f t="shared" si="15"/>
        <v>103500</v>
      </c>
      <c r="I1009">
        <v>1</v>
      </c>
      <c r="J1009">
        <v>0</v>
      </c>
      <c r="K1009">
        <v>0</v>
      </c>
      <c r="L1009">
        <v>0</v>
      </c>
      <c r="M1009">
        <v>1</v>
      </c>
    </row>
    <row r="1010" spans="1:13" x14ac:dyDescent="0.25">
      <c r="A1010" t="s">
        <v>266</v>
      </c>
      <c r="B1010" s="5">
        <v>3.8</v>
      </c>
      <c r="C1010" t="s">
        <v>1072</v>
      </c>
      <c r="D1010" t="s">
        <v>1073</v>
      </c>
      <c r="E1010" t="s">
        <v>1044</v>
      </c>
      <c r="F1010" s="4">
        <v>77000</v>
      </c>
      <c r="G1010" s="4">
        <v>118000</v>
      </c>
      <c r="H1010" s="4">
        <f t="shared" si="15"/>
        <v>97500</v>
      </c>
      <c r="I1010">
        <v>0</v>
      </c>
      <c r="J1010">
        <v>0</v>
      </c>
      <c r="K1010">
        <v>0</v>
      </c>
      <c r="L1010">
        <v>0</v>
      </c>
      <c r="M1010">
        <v>1</v>
      </c>
    </row>
    <row r="1011" spans="1:13" x14ac:dyDescent="0.25">
      <c r="A1011" t="s">
        <v>0</v>
      </c>
      <c r="B1011" s="5">
        <v>3.4</v>
      </c>
      <c r="C1011" t="s">
        <v>1074</v>
      </c>
      <c r="D1011" t="s">
        <v>1075</v>
      </c>
      <c r="E1011" t="s">
        <v>1044</v>
      </c>
      <c r="F1011" s="4">
        <v>125000</v>
      </c>
      <c r="G1011" s="4">
        <v>175000</v>
      </c>
      <c r="H1011" s="4">
        <f t="shared" si="15"/>
        <v>150000</v>
      </c>
      <c r="I1011">
        <v>0</v>
      </c>
      <c r="J1011">
        <v>0</v>
      </c>
      <c r="K1011">
        <v>0</v>
      </c>
      <c r="L1011">
        <v>0</v>
      </c>
      <c r="M1011">
        <v>1</v>
      </c>
    </row>
    <row r="1012" spans="1:13" x14ac:dyDescent="0.25">
      <c r="A1012" t="s">
        <v>121</v>
      </c>
      <c r="B1012" s="5">
        <v>4.9000000000000004</v>
      </c>
      <c r="C1012" t="s">
        <v>1076</v>
      </c>
      <c r="D1012" t="s">
        <v>1075</v>
      </c>
      <c r="E1012" t="s">
        <v>1044</v>
      </c>
      <c r="F1012" s="4">
        <v>96000</v>
      </c>
      <c r="G1012" s="4">
        <v>130000</v>
      </c>
      <c r="H1012" s="4">
        <f t="shared" si="15"/>
        <v>113000</v>
      </c>
      <c r="I1012">
        <v>1</v>
      </c>
      <c r="J1012">
        <v>0</v>
      </c>
      <c r="K1012">
        <v>1</v>
      </c>
      <c r="L1012">
        <v>0</v>
      </c>
      <c r="M1012">
        <v>1</v>
      </c>
    </row>
    <row r="1013" spans="1:13" x14ac:dyDescent="0.25">
      <c r="A1013" t="s">
        <v>121</v>
      </c>
      <c r="B1013" s="5">
        <v>4.9000000000000004</v>
      </c>
      <c r="C1013" t="s">
        <v>1076</v>
      </c>
      <c r="D1013" t="s">
        <v>1075</v>
      </c>
      <c r="E1013" t="s">
        <v>1044</v>
      </c>
      <c r="F1013" s="4">
        <v>96000</v>
      </c>
      <c r="G1013" s="4">
        <v>130000</v>
      </c>
      <c r="H1013" s="4">
        <f t="shared" si="15"/>
        <v>113000</v>
      </c>
      <c r="I1013">
        <v>1</v>
      </c>
      <c r="J1013">
        <v>0</v>
      </c>
      <c r="K1013">
        <v>1</v>
      </c>
      <c r="L1013">
        <v>0</v>
      </c>
      <c r="M1013">
        <v>1</v>
      </c>
    </row>
    <row r="1014" spans="1:13" x14ac:dyDescent="0.25">
      <c r="A1014" t="s">
        <v>121</v>
      </c>
      <c r="B1014" s="5">
        <v>4.9000000000000004</v>
      </c>
      <c r="C1014" t="s">
        <v>1076</v>
      </c>
      <c r="D1014" t="s">
        <v>1075</v>
      </c>
      <c r="E1014" t="s">
        <v>1044</v>
      </c>
      <c r="F1014" s="4">
        <v>96000</v>
      </c>
      <c r="G1014" s="4">
        <v>130000</v>
      </c>
      <c r="H1014" s="4">
        <f t="shared" si="15"/>
        <v>113000</v>
      </c>
      <c r="I1014">
        <v>1</v>
      </c>
      <c r="J1014">
        <v>0</v>
      </c>
      <c r="K1014">
        <v>1</v>
      </c>
      <c r="L1014">
        <v>0</v>
      </c>
      <c r="M1014">
        <v>1</v>
      </c>
    </row>
    <row r="1015" spans="1:13" x14ac:dyDescent="0.25">
      <c r="A1015" t="s">
        <v>121</v>
      </c>
      <c r="B1015" s="5">
        <v>4.9000000000000004</v>
      </c>
      <c r="C1015" t="s">
        <v>1076</v>
      </c>
      <c r="D1015" t="s">
        <v>1075</v>
      </c>
      <c r="E1015" t="s">
        <v>1044</v>
      </c>
      <c r="F1015" s="4">
        <v>96000</v>
      </c>
      <c r="G1015" s="4">
        <v>130000</v>
      </c>
      <c r="H1015" s="4">
        <f t="shared" si="15"/>
        <v>113000</v>
      </c>
      <c r="I1015">
        <v>1</v>
      </c>
      <c r="J1015">
        <v>0</v>
      </c>
      <c r="K1015">
        <v>1</v>
      </c>
      <c r="L1015">
        <v>0</v>
      </c>
      <c r="M1015">
        <v>1</v>
      </c>
    </row>
    <row r="1016" spans="1:13" x14ac:dyDescent="0.25">
      <c r="A1016" t="s">
        <v>121</v>
      </c>
      <c r="B1016" s="5">
        <v>4.9000000000000004</v>
      </c>
      <c r="C1016" t="s">
        <v>1076</v>
      </c>
      <c r="D1016" t="s">
        <v>1075</v>
      </c>
      <c r="E1016" t="s">
        <v>1044</v>
      </c>
      <c r="F1016" s="4">
        <v>96000</v>
      </c>
      <c r="G1016" s="4">
        <v>130000</v>
      </c>
      <c r="H1016" s="4">
        <f t="shared" si="15"/>
        <v>113000</v>
      </c>
      <c r="I1016">
        <v>1</v>
      </c>
      <c r="J1016">
        <v>0</v>
      </c>
      <c r="K1016">
        <v>1</v>
      </c>
      <c r="L1016">
        <v>0</v>
      </c>
      <c r="M1016">
        <v>1</v>
      </c>
    </row>
    <row r="1017" spans="1:13" x14ac:dyDescent="0.25">
      <c r="A1017" t="s">
        <v>121</v>
      </c>
      <c r="B1017" s="5">
        <v>4.9000000000000004</v>
      </c>
      <c r="C1017" t="s">
        <v>1076</v>
      </c>
      <c r="D1017" t="s">
        <v>1075</v>
      </c>
      <c r="E1017" t="s">
        <v>1044</v>
      </c>
      <c r="F1017" s="4">
        <v>96000</v>
      </c>
      <c r="G1017" s="4">
        <v>130000</v>
      </c>
      <c r="H1017" s="4">
        <f t="shared" si="15"/>
        <v>113000</v>
      </c>
      <c r="I1017">
        <v>1</v>
      </c>
      <c r="J1017">
        <v>0</v>
      </c>
      <c r="K1017">
        <v>1</v>
      </c>
      <c r="L1017">
        <v>0</v>
      </c>
      <c r="M1017">
        <v>1</v>
      </c>
    </row>
    <row r="1018" spans="1:13" x14ac:dyDescent="0.25">
      <c r="A1018" t="s">
        <v>121</v>
      </c>
      <c r="B1018" s="5">
        <v>4.9000000000000004</v>
      </c>
      <c r="C1018" t="s">
        <v>1076</v>
      </c>
      <c r="D1018" t="s">
        <v>1075</v>
      </c>
      <c r="E1018" t="s">
        <v>1044</v>
      </c>
      <c r="F1018" s="4">
        <v>96000</v>
      </c>
      <c r="G1018" s="4">
        <v>130000</v>
      </c>
      <c r="H1018" s="4">
        <f t="shared" si="15"/>
        <v>113000</v>
      </c>
      <c r="I1018">
        <v>1</v>
      </c>
      <c r="J1018">
        <v>0</v>
      </c>
      <c r="K1018">
        <v>1</v>
      </c>
      <c r="L1018">
        <v>0</v>
      </c>
      <c r="M1018">
        <v>1</v>
      </c>
    </row>
    <row r="1019" spans="1:13" x14ac:dyDescent="0.25">
      <c r="A1019" t="s">
        <v>121</v>
      </c>
      <c r="B1019" s="5">
        <v>4.9000000000000004</v>
      </c>
      <c r="C1019" t="s">
        <v>1076</v>
      </c>
      <c r="D1019" t="s">
        <v>1075</v>
      </c>
      <c r="E1019" t="s">
        <v>1044</v>
      </c>
      <c r="F1019" s="4">
        <v>96000</v>
      </c>
      <c r="G1019" s="4">
        <v>130000</v>
      </c>
      <c r="H1019" s="4">
        <f t="shared" si="15"/>
        <v>113000</v>
      </c>
      <c r="I1019">
        <v>1</v>
      </c>
      <c r="J1019">
        <v>0</v>
      </c>
      <c r="K1019">
        <v>1</v>
      </c>
      <c r="L1019">
        <v>0</v>
      </c>
      <c r="M1019">
        <v>1</v>
      </c>
    </row>
    <row r="1020" spans="1:13" x14ac:dyDescent="0.25">
      <c r="A1020" t="s">
        <v>121</v>
      </c>
      <c r="B1020" s="5">
        <v>4.9000000000000004</v>
      </c>
      <c r="C1020" t="s">
        <v>1076</v>
      </c>
      <c r="D1020" t="s">
        <v>1075</v>
      </c>
      <c r="E1020" t="s">
        <v>1044</v>
      </c>
      <c r="F1020" s="4">
        <v>96000</v>
      </c>
      <c r="G1020" s="4">
        <v>130000</v>
      </c>
      <c r="H1020" s="4">
        <f t="shared" si="15"/>
        <v>113000</v>
      </c>
      <c r="I1020">
        <v>1</v>
      </c>
      <c r="J1020">
        <v>0</v>
      </c>
      <c r="K1020">
        <v>1</v>
      </c>
      <c r="L1020">
        <v>0</v>
      </c>
      <c r="M1020">
        <v>1</v>
      </c>
    </row>
    <row r="1021" spans="1:13" x14ac:dyDescent="0.25">
      <c r="A1021" t="s">
        <v>121</v>
      </c>
      <c r="B1021" s="5">
        <v>4.9000000000000004</v>
      </c>
      <c r="C1021" t="s">
        <v>1076</v>
      </c>
      <c r="D1021" t="s">
        <v>1075</v>
      </c>
      <c r="E1021" t="s">
        <v>1044</v>
      </c>
      <c r="F1021" s="4">
        <v>96000</v>
      </c>
      <c r="G1021" s="4">
        <v>130000</v>
      </c>
      <c r="H1021" s="4">
        <f t="shared" si="15"/>
        <v>113000</v>
      </c>
      <c r="I1021">
        <v>1</v>
      </c>
      <c r="J1021">
        <v>0</v>
      </c>
      <c r="K1021">
        <v>1</v>
      </c>
      <c r="L1021">
        <v>0</v>
      </c>
      <c r="M1021">
        <v>1</v>
      </c>
    </row>
    <row r="1022" spans="1:13" x14ac:dyDescent="0.25">
      <c r="A1022" t="s">
        <v>121</v>
      </c>
      <c r="B1022" s="5">
        <v>4.9000000000000004</v>
      </c>
      <c r="C1022" t="s">
        <v>1076</v>
      </c>
      <c r="D1022" t="s">
        <v>1075</v>
      </c>
      <c r="E1022" t="s">
        <v>1044</v>
      </c>
      <c r="F1022" s="4">
        <v>96000</v>
      </c>
      <c r="G1022" s="4">
        <v>130000</v>
      </c>
      <c r="H1022" s="4">
        <f t="shared" si="15"/>
        <v>113000</v>
      </c>
      <c r="I1022">
        <v>1</v>
      </c>
      <c r="J1022">
        <v>0</v>
      </c>
      <c r="K1022">
        <v>1</v>
      </c>
      <c r="L1022">
        <v>0</v>
      </c>
      <c r="M1022">
        <v>1</v>
      </c>
    </row>
    <row r="1023" spans="1:13" x14ac:dyDescent="0.25">
      <c r="A1023" t="s">
        <v>121</v>
      </c>
      <c r="B1023" s="5">
        <v>4.9000000000000004</v>
      </c>
      <c r="C1023" t="s">
        <v>1076</v>
      </c>
      <c r="D1023" t="s">
        <v>1075</v>
      </c>
      <c r="E1023" t="s">
        <v>1044</v>
      </c>
      <c r="F1023" s="4">
        <v>96000</v>
      </c>
      <c r="G1023" s="4">
        <v>130000</v>
      </c>
      <c r="H1023" s="4">
        <f t="shared" si="15"/>
        <v>113000</v>
      </c>
      <c r="I1023">
        <v>1</v>
      </c>
      <c r="J1023">
        <v>0</v>
      </c>
      <c r="K1023">
        <v>1</v>
      </c>
      <c r="L1023">
        <v>0</v>
      </c>
      <c r="M1023">
        <v>1</v>
      </c>
    </row>
    <row r="1024" spans="1:13" x14ac:dyDescent="0.25">
      <c r="A1024" t="s">
        <v>121</v>
      </c>
      <c r="B1024" s="5">
        <v>4.9000000000000004</v>
      </c>
      <c r="C1024" t="s">
        <v>1076</v>
      </c>
      <c r="D1024" t="s">
        <v>1075</v>
      </c>
      <c r="E1024" t="s">
        <v>1044</v>
      </c>
      <c r="F1024" s="4">
        <v>96000</v>
      </c>
      <c r="G1024" s="4">
        <v>130000</v>
      </c>
      <c r="H1024" s="4">
        <f t="shared" si="15"/>
        <v>113000</v>
      </c>
      <c r="I1024">
        <v>1</v>
      </c>
      <c r="J1024">
        <v>0</v>
      </c>
      <c r="K1024">
        <v>1</v>
      </c>
      <c r="L1024">
        <v>0</v>
      </c>
      <c r="M1024">
        <v>1</v>
      </c>
    </row>
    <row r="1025" spans="1:13" x14ac:dyDescent="0.25">
      <c r="A1025" t="s">
        <v>121</v>
      </c>
      <c r="B1025" s="5">
        <v>4.9000000000000004</v>
      </c>
      <c r="C1025" t="s">
        <v>1076</v>
      </c>
      <c r="D1025" t="s">
        <v>1075</v>
      </c>
      <c r="E1025" t="s">
        <v>1044</v>
      </c>
      <c r="F1025" s="4">
        <v>96000</v>
      </c>
      <c r="G1025" s="4">
        <v>130000</v>
      </c>
      <c r="H1025" s="4">
        <f t="shared" si="15"/>
        <v>113000</v>
      </c>
      <c r="I1025">
        <v>1</v>
      </c>
      <c r="J1025">
        <v>0</v>
      </c>
      <c r="K1025">
        <v>1</v>
      </c>
      <c r="L1025">
        <v>0</v>
      </c>
      <c r="M1025">
        <v>1</v>
      </c>
    </row>
    <row r="1026" spans="1:13" x14ac:dyDescent="0.25">
      <c r="A1026" t="s">
        <v>121</v>
      </c>
      <c r="B1026" s="5">
        <v>4.9000000000000004</v>
      </c>
      <c r="C1026" t="s">
        <v>1076</v>
      </c>
      <c r="D1026" t="s">
        <v>1075</v>
      </c>
      <c r="E1026" t="s">
        <v>1044</v>
      </c>
      <c r="F1026" s="4">
        <v>96000</v>
      </c>
      <c r="G1026" s="4">
        <v>130000</v>
      </c>
      <c r="H1026" s="4">
        <f t="shared" si="15"/>
        <v>113000</v>
      </c>
      <c r="I1026">
        <v>1</v>
      </c>
      <c r="J1026">
        <v>0</v>
      </c>
      <c r="K1026">
        <v>1</v>
      </c>
      <c r="L1026">
        <v>0</v>
      </c>
      <c r="M1026">
        <v>1</v>
      </c>
    </row>
    <row r="1027" spans="1:13" x14ac:dyDescent="0.25">
      <c r="A1027" t="s">
        <v>121</v>
      </c>
      <c r="B1027" s="5">
        <v>4.9000000000000004</v>
      </c>
      <c r="C1027" t="s">
        <v>1076</v>
      </c>
      <c r="D1027" t="s">
        <v>1075</v>
      </c>
      <c r="E1027" t="s">
        <v>1044</v>
      </c>
      <c r="F1027" s="4">
        <v>96000</v>
      </c>
      <c r="G1027" s="4">
        <v>130000</v>
      </c>
      <c r="H1027" s="4">
        <f t="shared" ref="H1027:H1090" si="16">(F1027+G1027)/2</f>
        <v>113000</v>
      </c>
      <c r="I1027">
        <v>1</v>
      </c>
      <c r="J1027">
        <v>0</v>
      </c>
      <c r="K1027">
        <v>1</v>
      </c>
      <c r="L1027">
        <v>0</v>
      </c>
      <c r="M1027">
        <v>1</v>
      </c>
    </row>
    <row r="1028" spans="1:13" x14ac:dyDescent="0.25">
      <c r="A1028" t="s">
        <v>121</v>
      </c>
      <c r="B1028" s="5">
        <v>4.9000000000000004</v>
      </c>
      <c r="C1028" t="s">
        <v>1076</v>
      </c>
      <c r="D1028" t="s">
        <v>1075</v>
      </c>
      <c r="E1028" t="s">
        <v>1044</v>
      </c>
      <c r="F1028" s="4">
        <v>96000</v>
      </c>
      <c r="G1028" s="4">
        <v>130000</v>
      </c>
      <c r="H1028" s="4">
        <f t="shared" si="16"/>
        <v>113000</v>
      </c>
      <c r="I1028">
        <v>1</v>
      </c>
      <c r="J1028">
        <v>0</v>
      </c>
      <c r="K1028">
        <v>1</v>
      </c>
      <c r="L1028">
        <v>0</v>
      </c>
      <c r="M1028">
        <v>1</v>
      </c>
    </row>
    <row r="1029" spans="1:13" x14ac:dyDescent="0.25">
      <c r="A1029" t="s">
        <v>121</v>
      </c>
      <c r="B1029" s="5">
        <v>4.9000000000000004</v>
      </c>
      <c r="C1029" t="s">
        <v>1076</v>
      </c>
      <c r="D1029" t="s">
        <v>1075</v>
      </c>
      <c r="E1029" t="s">
        <v>1044</v>
      </c>
      <c r="F1029" s="4">
        <v>96000</v>
      </c>
      <c r="G1029" s="4">
        <v>130000</v>
      </c>
      <c r="H1029" s="4">
        <f t="shared" si="16"/>
        <v>113000</v>
      </c>
      <c r="I1029">
        <v>1</v>
      </c>
      <c r="J1029">
        <v>0</v>
      </c>
      <c r="K1029">
        <v>1</v>
      </c>
      <c r="L1029">
        <v>0</v>
      </c>
      <c r="M1029">
        <v>1</v>
      </c>
    </row>
    <row r="1030" spans="1:13" x14ac:dyDescent="0.25">
      <c r="A1030" t="s">
        <v>121</v>
      </c>
      <c r="B1030" s="5">
        <v>4.9000000000000004</v>
      </c>
      <c r="C1030" t="s">
        <v>1076</v>
      </c>
      <c r="D1030" t="s">
        <v>1075</v>
      </c>
      <c r="E1030" t="s">
        <v>1044</v>
      </c>
      <c r="F1030" s="4">
        <v>96000</v>
      </c>
      <c r="G1030" s="4">
        <v>130000</v>
      </c>
      <c r="H1030" s="4">
        <f t="shared" si="16"/>
        <v>113000</v>
      </c>
      <c r="I1030">
        <v>1</v>
      </c>
      <c r="J1030">
        <v>0</v>
      </c>
      <c r="K1030">
        <v>1</v>
      </c>
      <c r="L1030">
        <v>0</v>
      </c>
      <c r="M1030">
        <v>1</v>
      </c>
    </row>
    <row r="1031" spans="1:13" x14ac:dyDescent="0.25">
      <c r="A1031" t="s">
        <v>121</v>
      </c>
      <c r="B1031" s="5">
        <v>4.9000000000000004</v>
      </c>
      <c r="C1031" t="s">
        <v>1076</v>
      </c>
      <c r="D1031" t="s">
        <v>1075</v>
      </c>
      <c r="E1031" t="s">
        <v>1044</v>
      </c>
      <c r="F1031" s="4">
        <v>96000</v>
      </c>
      <c r="G1031" s="4">
        <v>130000</v>
      </c>
      <c r="H1031" s="4">
        <f t="shared" si="16"/>
        <v>113000</v>
      </c>
      <c r="I1031">
        <v>1</v>
      </c>
      <c r="J1031">
        <v>0</v>
      </c>
      <c r="K1031">
        <v>1</v>
      </c>
      <c r="L1031">
        <v>0</v>
      </c>
      <c r="M1031">
        <v>1</v>
      </c>
    </row>
    <row r="1032" spans="1:13" x14ac:dyDescent="0.25">
      <c r="A1032" t="s">
        <v>266</v>
      </c>
      <c r="B1032" s="5">
        <v>3.4</v>
      </c>
      <c r="C1032" t="s">
        <v>1074</v>
      </c>
      <c r="D1032" t="s">
        <v>1075</v>
      </c>
      <c r="E1032" t="s">
        <v>1044</v>
      </c>
      <c r="F1032" s="4">
        <v>90000</v>
      </c>
      <c r="G1032" s="4">
        <v>140000</v>
      </c>
      <c r="H1032" s="4">
        <f t="shared" si="16"/>
        <v>115000</v>
      </c>
      <c r="I1032">
        <v>0</v>
      </c>
      <c r="J1032">
        <v>0</v>
      </c>
      <c r="K1032">
        <v>0</v>
      </c>
      <c r="L1032">
        <v>0</v>
      </c>
      <c r="M1032">
        <v>1</v>
      </c>
    </row>
    <row r="1033" spans="1:13" x14ac:dyDescent="0.25">
      <c r="A1033" t="s">
        <v>1077</v>
      </c>
      <c r="C1033" t="s">
        <v>1078</v>
      </c>
      <c r="D1033" t="s">
        <v>1075</v>
      </c>
      <c r="E1033" t="s">
        <v>1044</v>
      </c>
      <c r="F1033" s="4">
        <v>88000</v>
      </c>
      <c r="G1033" s="4">
        <v>125000</v>
      </c>
      <c r="H1033" s="4">
        <f t="shared" si="16"/>
        <v>106500</v>
      </c>
      <c r="I1033">
        <v>0</v>
      </c>
      <c r="J1033">
        <v>0</v>
      </c>
      <c r="K1033">
        <v>0</v>
      </c>
      <c r="L1033">
        <v>0</v>
      </c>
      <c r="M1033">
        <v>1</v>
      </c>
    </row>
    <row r="1034" spans="1:13" x14ac:dyDescent="0.25">
      <c r="A1034" t="s">
        <v>0</v>
      </c>
      <c r="B1034" s="5">
        <v>4.0999999999999996</v>
      </c>
      <c r="C1034" t="s">
        <v>1079</v>
      </c>
      <c r="D1034" t="s">
        <v>1075</v>
      </c>
      <c r="E1034" t="s">
        <v>1044</v>
      </c>
      <c r="F1034" s="4">
        <v>85000</v>
      </c>
      <c r="G1034" s="4">
        <v>125000</v>
      </c>
      <c r="H1034" s="4">
        <f t="shared" si="16"/>
        <v>105000</v>
      </c>
      <c r="I1034">
        <v>0</v>
      </c>
      <c r="J1034">
        <v>0</v>
      </c>
      <c r="K1034">
        <v>0</v>
      </c>
      <c r="L1034">
        <v>0</v>
      </c>
      <c r="M1034">
        <v>1</v>
      </c>
    </row>
    <row r="1035" spans="1:13" x14ac:dyDescent="0.25">
      <c r="A1035" t="s">
        <v>0</v>
      </c>
      <c r="B1035" s="5">
        <v>4.0999999999999996</v>
      </c>
      <c r="C1035" t="s">
        <v>1079</v>
      </c>
      <c r="D1035" t="s">
        <v>1075</v>
      </c>
      <c r="E1035" t="s">
        <v>1044</v>
      </c>
      <c r="F1035" s="4">
        <v>85000</v>
      </c>
      <c r="G1035" s="4">
        <v>125000</v>
      </c>
      <c r="H1035" s="4">
        <f t="shared" si="16"/>
        <v>105000</v>
      </c>
      <c r="I1035">
        <v>0</v>
      </c>
      <c r="J1035">
        <v>0</v>
      </c>
      <c r="K1035">
        <v>0</v>
      </c>
      <c r="L1035">
        <v>0</v>
      </c>
      <c r="M1035">
        <v>1</v>
      </c>
    </row>
    <row r="1036" spans="1:13" x14ac:dyDescent="0.25">
      <c r="A1036" t="s">
        <v>0</v>
      </c>
      <c r="B1036" s="5">
        <v>4.0999999999999996</v>
      </c>
      <c r="C1036" t="s">
        <v>1079</v>
      </c>
      <c r="D1036" t="s">
        <v>1075</v>
      </c>
      <c r="E1036" t="s">
        <v>1044</v>
      </c>
      <c r="F1036" s="4">
        <v>85000</v>
      </c>
      <c r="G1036" s="4">
        <v>125000</v>
      </c>
      <c r="H1036" s="4">
        <f t="shared" si="16"/>
        <v>105000</v>
      </c>
      <c r="I1036">
        <v>0</v>
      </c>
      <c r="J1036">
        <v>0</v>
      </c>
      <c r="K1036">
        <v>0</v>
      </c>
      <c r="L1036">
        <v>0</v>
      </c>
      <c r="M1036">
        <v>1</v>
      </c>
    </row>
    <row r="1037" spans="1:13" x14ac:dyDescent="0.25">
      <c r="A1037" t="s">
        <v>0</v>
      </c>
      <c r="B1037" s="5">
        <v>4.0999999999999996</v>
      </c>
      <c r="C1037" t="s">
        <v>1079</v>
      </c>
      <c r="D1037" t="s">
        <v>1075</v>
      </c>
      <c r="E1037" t="s">
        <v>1044</v>
      </c>
      <c r="F1037" s="4">
        <v>85000</v>
      </c>
      <c r="G1037" s="4">
        <v>125000</v>
      </c>
      <c r="H1037" s="4">
        <f t="shared" si="16"/>
        <v>105000</v>
      </c>
      <c r="I1037">
        <v>0</v>
      </c>
      <c r="J1037">
        <v>0</v>
      </c>
      <c r="K1037">
        <v>0</v>
      </c>
      <c r="L1037">
        <v>0</v>
      </c>
      <c r="M1037">
        <v>1</v>
      </c>
    </row>
    <row r="1038" spans="1:13" x14ac:dyDescent="0.25">
      <c r="A1038" t="s">
        <v>0</v>
      </c>
      <c r="B1038" s="5">
        <v>4.0999999999999996</v>
      </c>
      <c r="C1038" t="s">
        <v>1079</v>
      </c>
      <c r="D1038" t="s">
        <v>1075</v>
      </c>
      <c r="E1038" t="s">
        <v>1044</v>
      </c>
      <c r="F1038" s="4">
        <v>85000</v>
      </c>
      <c r="G1038" s="4">
        <v>125000</v>
      </c>
      <c r="H1038" s="4">
        <f t="shared" si="16"/>
        <v>105000</v>
      </c>
      <c r="I1038">
        <v>0</v>
      </c>
      <c r="J1038">
        <v>0</v>
      </c>
      <c r="K1038">
        <v>0</v>
      </c>
      <c r="L1038">
        <v>0</v>
      </c>
      <c r="M1038">
        <v>1</v>
      </c>
    </row>
    <row r="1039" spans="1:13" x14ac:dyDescent="0.25">
      <c r="A1039" t="s">
        <v>0</v>
      </c>
      <c r="B1039" s="5">
        <v>4.0999999999999996</v>
      </c>
      <c r="C1039" t="s">
        <v>1079</v>
      </c>
      <c r="D1039" t="s">
        <v>1075</v>
      </c>
      <c r="E1039" t="s">
        <v>1044</v>
      </c>
      <c r="F1039" s="4">
        <v>85000</v>
      </c>
      <c r="G1039" s="4">
        <v>125000</v>
      </c>
      <c r="H1039" s="4">
        <f t="shared" si="16"/>
        <v>105000</v>
      </c>
      <c r="I1039">
        <v>0</v>
      </c>
      <c r="J1039">
        <v>0</v>
      </c>
      <c r="K1039">
        <v>0</v>
      </c>
      <c r="L1039">
        <v>0</v>
      </c>
      <c r="M1039">
        <v>1</v>
      </c>
    </row>
    <row r="1040" spans="1:13" x14ac:dyDescent="0.25">
      <c r="A1040" t="s">
        <v>0</v>
      </c>
      <c r="B1040" s="5">
        <v>4.0999999999999996</v>
      </c>
      <c r="C1040" t="s">
        <v>1079</v>
      </c>
      <c r="D1040" t="s">
        <v>1075</v>
      </c>
      <c r="E1040" t="s">
        <v>1044</v>
      </c>
      <c r="F1040" s="4">
        <v>85000</v>
      </c>
      <c r="G1040" s="4">
        <v>125000</v>
      </c>
      <c r="H1040" s="4">
        <f t="shared" si="16"/>
        <v>105000</v>
      </c>
      <c r="I1040">
        <v>0</v>
      </c>
      <c r="J1040">
        <v>0</v>
      </c>
      <c r="K1040">
        <v>0</v>
      </c>
      <c r="L1040">
        <v>0</v>
      </c>
      <c r="M1040">
        <v>1</v>
      </c>
    </row>
    <row r="1041" spans="1:13" x14ac:dyDescent="0.25">
      <c r="A1041" t="s">
        <v>0</v>
      </c>
      <c r="B1041" s="5">
        <v>4.0999999999999996</v>
      </c>
      <c r="C1041" t="s">
        <v>1079</v>
      </c>
      <c r="D1041" t="s">
        <v>1075</v>
      </c>
      <c r="E1041" t="s">
        <v>1044</v>
      </c>
      <c r="F1041" s="4">
        <v>85000</v>
      </c>
      <c r="G1041" s="4">
        <v>125000</v>
      </c>
      <c r="H1041" s="4">
        <f t="shared" si="16"/>
        <v>105000</v>
      </c>
      <c r="I1041">
        <v>0</v>
      </c>
      <c r="J1041">
        <v>0</v>
      </c>
      <c r="K1041">
        <v>0</v>
      </c>
      <c r="L1041">
        <v>0</v>
      </c>
      <c r="M1041">
        <v>1</v>
      </c>
    </row>
    <row r="1042" spans="1:13" x14ac:dyDescent="0.25">
      <c r="A1042" t="s">
        <v>0</v>
      </c>
      <c r="B1042" s="5">
        <v>4.0999999999999996</v>
      </c>
      <c r="C1042" t="s">
        <v>1079</v>
      </c>
      <c r="D1042" t="s">
        <v>1075</v>
      </c>
      <c r="E1042" t="s">
        <v>1044</v>
      </c>
      <c r="F1042" s="4">
        <v>85000</v>
      </c>
      <c r="G1042" s="4">
        <v>125000</v>
      </c>
      <c r="H1042" s="4">
        <f t="shared" si="16"/>
        <v>105000</v>
      </c>
      <c r="I1042">
        <v>0</v>
      </c>
      <c r="J1042">
        <v>0</v>
      </c>
      <c r="K1042">
        <v>0</v>
      </c>
      <c r="L1042">
        <v>0</v>
      </c>
      <c r="M1042">
        <v>1</v>
      </c>
    </row>
    <row r="1043" spans="1:13" x14ac:dyDescent="0.25">
      <c r="A1043" t="s">
        <v>0</v>
      </c>
      <c r="B1043" s="5">
        <v>4.0999999999999996</v>
      </c>
      <c r="C1043" t="s">
        <v>1079</v>
      </c>
      <c r="D1043" t="s">
        <v>1075</v>
      </c>
      <c r="E1043" t="s">
        <v>1044</v>
      </c>
      <c r="F1043" s="4">
        <v>85000</v>
      </c>
      <c r="G1043" s="4">
        <v>125000</v>
      </c>
      <c r="H1043" s="4">
        <f t="shared" si="16"/>
        <v>105000</v>
      </c>
      <c r="I1043">
        <v>0</v>
      </c>
      <c r="J1043">
        <v>0</v>
      </c>
      <c r="K1043">
        <v>0</v>
      </c>
      <c r="L1043">
        <v>0</v>
      </c>
      <c r="M1043">
        <v>1</v>
      </c>
    </row>
    <row r="1044" spans="1:13" x14ac:dyDescent="0.25">
      <c r="A1044" t="s">
        <v>0</v>
      </c>
      <c r="B1044" s="5">
        <v>4.0999999999999996</v>
      </c>
      <c r="C1044" t="s">
        <v>1079</v>
      </c>
      <c r="D1044" t="s">
        <v>1075</v>
      </c>
      <c r="E1044" t="s">
        <v>1044</v>
      </c>
      <c r="F1044" s="4">
        <v>85000</v>
      </c>
      <c r="G1044" s="4">
        <v>125000</v>
      </c>
      <c r="H1044" s="4">
        <f t="shared" si="16"/>
        <v>105000</v>
      </c>
      <c r="I1044">
        <v>0</v>
      </c>
      <c r="J1044">
        <v>0</v>
      </c>
      <c r="K1044">
        <v>0</v>
      </c>
      <c r="L1044">
        <v>0</v>
      </c>
      <c r="M1044">
        <v>1</v>
      </c>
    </row>
    <row r="1045" spans="1:13" x14ac:dyDescent="0.25">
      <c r="A1045" t="s">
        <v>0</v>
      </c>
      <c r="B1045" s="5">
        <v>4.0999999999999996</v>
      </c>
      <c r="C1045" t="s">
        <v>1079</v>
      </c>
      <c r="D1045" t="s">
        <v>1075</v>
      </c>
      <c r="E1045" t="s">
        <v>1044</v>
      </c>
      <c r="F1045" s="4">
        <v>85000</v>
      </c>
      <c r="G1045" s="4">
        <v>125000</v>
      </c>
      <c r="H1045" s="4">
        <f t="shared" si="16"/>
        <v>105000</v>
      </c>
      <c r="I1045">
        <v>0</v>
      </c>
      <c r="J1045">
        <v>0</v>
      </c>
      <c r="K1045">
        <v>0</v>
      </c>
      <c r="L1045">
        <v>0</v>
      </c>
      <c r="M1045">
        <v>1</v>
      </c>
    </row>
    <row r="1046" spans="1:13" x14ac:dyDescent="0.25">
      <c r="A1046" t="s">
        <v>0</v>
      </c>
      <c r="B1046" s="5">
        <v>4.0999999999999996</v>
      </c>
      <c r="C1046" t="s">
        <v>1079</v>
      </c>
      <c r="D1046" t="s">
        <v>1075</v>
      </c>
      <c r="E1046" t="s">
        <v>1044</v>
      </c>
      <c r="F1046" s="4">
        <v>85000</v>
      </c>
      <c r="G1046" s="4">
        <v>125000</v>
      </c>
      <c r="H1046" s="4">
        <f t="shared" si="16"/>
        <v>105000</v>
      </c>
      <c r="I1046">
        <v>0</v>
      </c>
      <c r="J1046">
        <v>0</v>
      </c>
      <c r="K1046">
        <v>0</v>
      </c>
      <c r="L1046">
        <v>0</v>
      </c>
      <c r="M1046">
        <v>1</v>
      </c>
    </row>
    <row r="1047" spans="1:13" x14ac:dyDescent="0.25">
      <c r="A1047" t="s">
        <v>0</v>
      </c>
      <c r="B1047" s="5">
        <v>4.0999999999999996</v>
      </c>
      <c r="C1047" t="s">
        <v>1079</v>
      </c>
      <c r="D1047" t="s">
        <v>1075</v>
      </c>
      <c r="E1047" t="s">
        <v>1044</v>
      </c>
      <c r="F1047" s="4">
        <v>85000</v>
      </c>
      <c r="G1047" s="4">
        <v>125000</v>
      </c>
      <c r="H1047" s="4">
        <f t="shared" si="16"/>
        <v>105000</v>
      </c>
      <c r="I1047">
        <v>0</v>
      </c>
      <c r="J1047">
        <v>0</v>
      </c>
      <c r="K1047">
        <v>0</v>
      </c>
      <c r="L1047">
        <v>0</v>
      </c>
      <c r="M1047">
        <v>1</v>
      </c>
    </row>
    <row r="1048" spans="1:13" x14ac:dyDescent="0.25">
      <c r="A1048" t="s">
        <v>0</v>
      </c>
      <c r="B1048" s="5">
        <v>4.0999999999999996</v>
      </c>
      <c r="C1048" t="s">
        <v>1079</v>
      </c>
      <c r="D1048" t="s">
        <v>1075</v>
      </c>
      <c r="E1048" t="s">
        <v>1044</v>
      </c>
      <c r="F1048" s="4">
        <v>85000</v>
      </c>
      <c r="G1048" s="4">
        <v>125000</v>
      </c>
      <c r="H1048" s="4">
        <f t="shared" si="16"/>
        <v>105000</v>
      </c>
      <c r="I1048">
        <v>0</v>
      </c>
      <c r="J1048">
        <v>0</v>
      </c>
      <c r="K1048">
        <v>0</v>
      </c>
      <c r="L1048">
        <v>0</v>
      </c>
      <c r="M1048">
        <v>1</v>
      </c>
    </row>
    <row r="1049" spans="1:13" x14ac:dyDescent="0.25">
      <c r="A1049" t="s">
        <v>0</v>
      </c>
      <c r="B1049" s="5">
        <v>4.0999999999999996</v>
      </c>
      <c r="C1049" t="s">
        <v>1079</v>
      </c>
      <c r="D1049" t="s">
        <v>1075</v>
      </c>
      <c r="E1049" t="s">
        <v>1044</v>
      </c>
      <c r="F1049" s="4">
        <v>85000</v>
      </c>
      <c r="G1049" s="4">
        <v>125000</v>
      </c>
      <c r="H1049" s="4">
        <f t="shared" si="16"/>
        <v>105000</v>
      </c>
      <c r="I1049">
        <v>0</v>
      </c>
      <c r="J1049">
        <v>0</v>
      </c>
      <c r="K1049">
        <v>0</v>
      </c>
      <c r="L1049">
        <v>0</v>
      </c>
      <c r="M1049">
        <v>1</v>
      </c>
    </row>
    <row r="1050" spans="1:13" x14ac:dyDescent="0.25">
      <c r="A1050" t="s">
        <v>0</v>
      </c>
      <c r="B1050" s="5">
        <v>4.0999999999999996</v>
      </c>
      <c r="C1050" t="s">
        <v>1079</v>
      </c>
      <c r="D1050" t="s">
        <v>1075</v>
      </c>
      <c r="E1050" t="s">
        <v>1044</v>
      </c>
      <c r="F1050" s="4">
        <v>85000</v>
      </c>
      <c r="G1050" s="4">
        <v>125000</v>
      </c>
      <c r="H1050" s="4">
        <f t="shared" si="16"/>
        <v>105000</v>
      </c>
      <c r="I1050">
        <v>0</v>
      </c>
      <c r="J1050">
        <v>0</v>
      </c>
      <c r="K1050">
        <v>0</v>
      </c>
      <c r="L1050">
        <v>0</v>
      </c>
      <c r="M1050">
        <v>1</v>
      </c>
    </row>
    <row r="1051" spans="1:13" x14ac:dyDescent="0.25">
      <c r="A1051" t="s">
        <v>0</v>
      </c>
      <c r="B1051" s="5">
        <v>4.0999999999999996</v>
      </c>
      <c r="C1051" t="s">
        <v>1079</v>
      </c>
      <c r="D1051" t="s">
        <v>1075</v>
      </c>
      <c r="E1051" t="s">
        <v>1044</v>
      </c>
      <c r="F1051" s="4">
        <v>85000</v>
      </c>
      <c r="G1051" s="4">
        <v>125000</v>
      </c>
      <c r="H1051" s="4">
        <f t="shared" si="16"/>
        <v>105000</v>
      </c>
      <c r="I1051">
        <v>0</v>
      </c>
      <c r="J1051">
        <v>0</v>
      </c>
      <c r="K1051">
        <v>0</v>
      </c>
      <c r="L1051">
        <v>0</v>
      </c>
      <c r="M1051">
        <v>1</v>
      </c>
    </row>
    <row r="1052" spans="1:13" x14ac:dyDescent="0.25">
      <c r="A1052" t="s">
        <v>266</v>
      </c>
      <c r="B1052" s="5">
        <v>4.3</v>
      </c>
      <c r="C1052" t="s">
        <v>282</v>
      </c>
      <c r="D1052" t="s">
        <v>1075</v>
      </c>
      <c r="E1052" t="s">
        <v>1044</v>
      </c>
      <c r="F1052" s="4">
        <v>82000</v>
      </c>
      <c r="G1052" s="4">
        <v>112000</v>
      </c>
      <c r="H1052" s="4">
        <f t="shared" si="16"/>
        <v>97000</v>
      </c>
      <c r="I1052">
        <v>0</v>
      </c>
      <c r="J1052">
        <v>0</v>
      </c>
      <c r="K1052">
        <v>0</v>
      </c>
      <c r="L1052">
        <v>0</v>
      </c>
      <c r="M1052">
        <v>1</v>
      </c>
    </row>
    <row r="1053" spans="1:13" x14ac:dyDescent="0.25">
      <c r="A1053" t="s">
        <v>0</v>
      </c>
      <c r="C1053" t="s">
        <v>1080</v>
      </c>
      <c r="D1053" t="s">
        <v>1075</v>
      </c>
      <c r="E1053" t="s">
        <v>1044</v>
      </c>
      <c r="F1053" s="4">
        <v>70000</v>
      </c>
      <c r="G1053" s="4">
        <v>70000</v>
      </c>
      <c r="H1053" s="4">
        <f t="shared" si="16"/>
        <v>70000</v>
      </c>
      <c r="I1053">
        <v>1</v>
      </c>
      <c r="J1053">
        <v>1</v>
      </c>
      <c r="K1053">
        <v>1</v>
      </c>
      <c r="L1053">
        <v>1</v>
      </c>
      <c r="M1053">
        <v>1</v>
      </c>
    </row>
    <row r="1054" spans="1:13" x14ac:dyDescent="0.25">
      <c r="A1054" t="s">
        <v>1081</v>
      </c>
      <c r="B1054" s="5">
        <v>3.5</v>
      </c>
      <c r="C1054" t="s">
        <v>1082</v>
      </c>
      <c r="D1054" t="s">
        <v>1083</v>
      </c>
      <c r="E1054" t="s">
        <v>1044</v>
      </c>
      <c r="F1054" s="4">
        <v>134000</v>
      </c>
      <c r="G1054" s="4">
        <v>200000</v>
      </c>
      <c r="H1054" s="4">
        <f t="shared" si="16"/>
        <v>167000</v>
      </c>
      <c r="I1054">
        <v>0</v>
      </c>
      <c r="J1054">
        <v>0</v>
      </c>
      <c r="K1054">
        <v>0</v>
      </c>
      <c r="L1054">
        <v>0</v>
      </c>
      <c r="M1054">
        <v>1</v>
      </c>
    </row>
    <row r="1055" spans="1:13" x14ac:dyDescent="0.25">
      <c r="A1055" t="s">
        <v>1084</v>
      </c>
      <c r="B1055" s="5">
        <v>3.9</v>
      </c>
      <c r="C1055" t="s">
        <v>1085</v>
      </c>
      <c r="D1055" t="s">
        <v>1083</v>
      </c>
      <c r="E1055" t="s">
        <v>1044</v>
      </c>
      <c r="F1055" s="4">
        <v>123000</v>
      </c>
      <c r="G1055" s="4">
        <v>209000</v>
      </c>
      <c r="H1055" s="4">
        <f t="shared" si="16"/>
        <v>166000</v>
      </c>
      <c r="I1055">
        <v>1</v>
      </c>
      <c r="J1055">
        <v>1</v>
      </c>
      <c r="K1055">
        <v>0</v>
      </c>
      <c r="L1055">
        <v>0</v>
      </c>
      <c r="M1055">
        <v>1</v>
      </c>
    </row>
    <row r="1056" spans="1:13" x14ac:dyDescent="0.25">
      <c r="A1056" t="s">
        <v>0</v>
      </c>
      <c r="B1056" s="5">
        <v>3.8</v>
      </c>
      <c r="C1056" t="s">
        <v>343</v>
      </c>
      <c r="D1056" t="s">
        <v>1083</v>
      </c>
      <c r="E1056" t="s">
        <v>1044</v>
      </c>
      <c r="F1056" s="4">
        <v>118000</v>
      </c>
      <c r="G1056" s="4">
        <v>214000</v>
      </c>
      <c r="H1056" s="4">
        <f t="shared" si="16"/>
        <v>166000</v>
      </c>
      <c r="I1056">
        <v>0</v>
      </c>
      <c r="J1056">
        <v>0</v>
      </c>
      <c r="K1056">
        <v>0</v>
      </c>
      <c r="L1056">
        <v>0</v>
      </c>
      <c r="M1056">
        <v>1</v>
      </c>
    </row>
    <row r="1057" spans="1:13" x14ac:dyDescent="0.25">
      <c r="A1057" t="s">
        <v>1086</v>
      </c>
      <c r="B1057" s="5">
        <v>1</v>
      </c>
      <c r="C1057" t="s">
        <v>1087</v>
      </c>
      <c r="D1057" t="s">
        <v>1083</v>
      </c>
      <c r="E1057" t="s">
        <v>1044</v>
      </c>
      <c r="F1057" s="4">
        <v>107000</v>
      </c>
      <c r="G1057" s="4">
        <v>141000</v>
      </c>
      <c r="H1057" s="4">
        <f t="shared" si="16"/>
        <v>124000</v>
      </c>
      <c r="I1057">
        <v>0</v>
      </c>
      <c r="J1057">
        <v>0</v>
      </c>
      <c r="K1057">
        <v>0</v>
      </c>
      <c r="L1057">
        <v>0</v>
      </c>
      <c r="M1057">
        <v>1</v>
      </c>
    </row>
    <row r="1058" spans="1:13" x14ac:dyDescent="0.25">
      <c r="A1058" t="s">
        <v>0</v>
      </c>
      <c r="B1058" s="5">
        <v>4.3</v>
      </c>
      <c r="C1058" t="s">
        <v>1088</v>
      </c>
      <c r="D1058" t="s">
        <v>1083</v>
      </c>
      <c r="E1058" t="s">
        <v>1044</v>
      </c>
      <c r="F1058" s="4">
        <v>101000</v>
      </c>
      <c r="G1058" s="4">
        <v>136000</v>
      </c>
      <c r="H1058" s="4">
        <f t="shared" si="16"/>
        <v>118500</v>
      </c>
      <c r="I1058">
        <v>0</v>
      </c>
      <c r="J1058">
        <v>0</v>
      </c>
      <c r="K1058">
        <v>0</v>
      </c>
      <c r="L1058">
        <v>0</v>
      </c>
      <c r="M1058">
        <v>1</v>
      </c>
    </row>
    <row r="1059" spans="1:13" x14ac:dyDescent="0.25">
      <c r="A1059" t="s">
        <v>266</v>
      </c>
      <c r="B1059" s="5">
        <v>3.9</v>
      </c>
      <c r="C1059" t="s">
        <v>1089</v>
      </c>
      <c r="D1059" t="s">
        <v>1083</v>
      </c>
      <c r="E1059" t="s">
        <v>1044</v>
      </c>
      <c r="F1059" s="4">
        <v>74000</v>
      </c>
      <c r="G1059" s="4">
        <v>108000</v>
      </c>
      <c r="H1059" s="4">
        <f t="shared" si="16"/>
        <v>91000</v>
      </c>
      <c r="I1059">
        <v>0</v>
      </c>
      <c r="J1059">
        <v>1</v>
      </c>
      <c r="K1059">
        <v>0</v>
      </c>
      <c r="L1059">
        <v>0</v>
      </c>
      <c r="M1059">
        <v>1</v>
      </c>
    </row>
    <row r="1060" spans="1:13" x14ac:dyDescent="0.25">
      <c r="A1060" t="s">
        <v>0</v>
      </c>
      <c r="B1060" s="5">
        <v>4</v>
      </c>
      <c r="C1060" t="s">
        <v>1090</v>
      </c>
      <c r="D1060" t="s">
        <v>1091</v>
      </c>
      <c r="E1060" t="s">
        <v>1044</v>
      </c>
      <c r="F1060" s="4">
        <v>86000</v>
      </c>
      <c r="G1060" s="4">
        <v>129000</v>
      </c>
      <c r="H1060" s="4">
        <f t="shared" si="16"/>
        <v>107500</v>
      </c>
      <c r="I1060">
        <v>0</v>
      </c>
      <c r="J1060">
        <v>0</v>
      </c>
      <c r="K1060">
        <v>0</v>
      </c>
      <c r="L1060">
        <v>0</v>
      </c>
      <c r="M1060">
        <v>1</v>
      </c>
    </row>
    <row r="1061" spans="1:13" x14ac:dyDescent="0.25">
      <c r="A1061" t="s">
        <v>1092</v>
      </c>
      <c r="B1061" s="5">
        <v>4.0999999999999996</v>
      </c>
      <c r="C1061" t="s">
        <v>1093</v>
      </c>
      <c r="D1061" t="s">
        <v>1091</v>
      </c>
      <c r="E1061" t="s">
        <v>1044</v>
      </c>
      <c r="F1061" s="4">
        <v>61000</v>
      </c>
      <c r="G1061" s="4">
        <v>92000</v>
      </c>
      <c r="H1061" s="4">
        <f t="shared" si="16"/>
        <v>76500</v>
      </c>
      <c r="I1061">
        <v>0</v>
      </c>
      <c r="J1061">
        <v>1</v>
      </c>
      <c r="K1061">
        <v>0</v>
      </c>
      <c r="L1061">
        <v>0</v>
      </c>
      <c r="M1061">
        <v>1</v>
      </c>
    </row>
    <row r="1062" spans="1:13" x14ac:dyDescent="0.25">
      <c r="A1062" t="s">
        <v>0</v>
      </c>
      <c r="B1062" s="5">
        <v>4.0999999999999996</v>
      </c>
      <c r="C1062" t="s">
        <v>1094</v>
      </c>
      <c r="D1062" t="s">
        <v>1095</v>
      </c>
      <c r="E1062" t="s">
        <v>1044</v>
      </c>
      <c r="F1062" s="4">
        <v>83000</v>
      </c>
      <c r="G1062" s="4">
        <v>83000</v>
      </c>
      <c r="H1062" s="4">
        <f t="shared" si="16"/>
        <v>83000</v>
      </c>
      <c r="I1062">
        <v>0</v>
      </c>
      <c r="J1062">
        <v>0</v>
      </c>
      <c r="K1062">
        <v>0</v>
      </c>
      <c r="L1062">
        <v>0</v>
      </c>
      <c r="M1062">
        <v>1</v>
      </c>
    </row>
    <row r="1063" spans="1:13" x14ac:dyDescent="0.25">
      <c r="A1063" t="s">
        <v>1096</v>
      </c>
      <c r="B1063" s="5">
        <v>3.6</v>
      </c>
      <c r="C1063" t="s">
        <v>1097</v>
      </c>
      <c r="D1063" t="s">
        <v>1098</v>
      </c>
      <c r="E1063" t="s">
        <v>1044</v>
      </c>
      <c r="F1063" s="4">
        <v>94000</v>
      </c>
      <c r="G1063" s="4">
        <v>139000</v>
      </c>
      <c r="H1063" s="4">
        <f t="shared" si="16"/>
        <v>116500</v>
      </c>
      <c r="I1063">
        <v>0</v>
      </c>
      <c r="J1063">
        <v>0</v>
      </c>
      <c r="K1063">
        <v>0</v>
      </c>
      <c r="L1063">
        <v>0</v>
      </c>
      <c r="M1063">
        <v>1</v>
      </c>
    </row>
    <row r="1064" spans="1:13" x14ac:dyDescent="0.25">
      <c r="A1064" t="s">
        <v>0</v>
      </c>
      <c r="B1064" s="5">
        <v>5</v>
      </c>
      <c r="C1064" t="s">
        <v>1099</v>
      </c>
      <c r="D1064" t="s">
        <v>1100</v>
      </c>
      <c r="E1064" t="s">
        <v>1044</v>
      </c>
      <c r="F1064" s="4">
        <v>130000</v>
      </c>
      <c r="G1064" s="4">
        <v>190000</v>
      </c>
      <c r="H1064" s="4">
        <f t="shared" si="16"/>
        <v>160000</v>
      </c>
      <c r="I1064">
        <v>0</v>
      </c>
      <c r="J1064">
        <v>0</v>
      </c>
      <c r="K1064">
        <v>0</v>
      </c>
      <c r="L1064">
        <v>0</v>
      </c>
      <c r="M1064">
        <v>1</v>
      </c>
    </row>
    <row r="1065" spans="1:13" x14ac:dyDescent="0.25">
      <c r="A1065" t="s">
        <v>30</v>
      </c>
      <c r="B1065" s="5">
        <v>4.5</v>
      </c>
      <c r="C1065" t="s">
        <v>1059</v>
      </c>
      <c r="D1065" t="s">
        <v>1100</v>
      </c>
      <c r="E1065" t="s">
        <v>1044</v>
      </c>
      <c r="F1065" s="4">
        <v>118000</v>
      </c>
      <c r="G1065" s="4">
        <v>152000</v>
      </c>
      <c r="H1065" s="4">
        <f t="shared" si="16"/>
        <v>135000</v>
      </c>
      <c r="I1065">
        <v>0</v>
      </c>
      <c r="J1065">
        <v>0</v>
      </c>
      <c r="K1065">
        <v>0</v>
      </c>
      <c r="L1065">
        <v>0</v>
      </c>
      <c r="M1065">
        <v>1</v>
      </c>
    </row>
    <row r="1066" spans="1:13" x14ac:dyDescent="0.25">
      <c r="A1066" t="s">
        <v>121</v>
      </c>
      <c r="B1066" s="5">
        <v>4.2</v>
      </c>
      <c r="C1066" t="s">
        <v>1101</v>
      </c>
      <c r="D1066" t="s">
        <v>1100</v>
      </c>
      <c r="E1066" t="s">
        <v>1044</v>
      </c>
      <c r="F1066" s="4">
        <v>113000</v>
      </c>
      <c r="G1066" s="4">
        <v>154000</v>
      </c>
      <c r="H1066" s="4">
        <f t="shared" si="16"/>
        <v>133500</v>
      </c>
      <c r="I1066">
        <v>0</v>
      </c>
      <c r="J1066">
        <v>0</v>
      </c>
      <c r="K1066">
        <v>0</v>
      </c>
      <c r="L1066">
        <v>0</v>
      </c>
      <c r="M1066">
        <v>1</v>
      </c>
    </row>
    <row r="1067" spans="1:13" x14ac:dyDescent="0.25">
      <c r="A1067" t="s">
        <v>0</v>
      </c>
      <c r="B1067" s="5">
        <v>4.5</v>
      </c>
      <c r="C1067" t="s">
        <v>1102</v>
      </c>
      <c r="D1067" t="s">
        <v>1100</v>
      </c>
      <c r="E1067" t="s">
        <v>1044</v>
      </c>
      <c r="F1067" s="4">
        <v>92000</v>
      </c>
      <c r="G1067" s="4">
        <v>134000</v>
      </c>
      <c r="H1067" s="4">
        <f t="shared" si="16"/>
        <v>113000</v>
      </c>
      <c r="I1067">
        <v>0</v>
      </c>
      <c r="J1067">
        <v>0</v>
      </c>
      <c r="K1067">
        <v>0</v>
      </c>
      <c r="L1067">
        <v>0</v>
      </c>
      <c r="M1067">
        <v>1</v>
      </c>
    </row>
    <row r="1068" spans="1:13" x14ac:dyDescent="0.25">
      <c r="A1068" t="s">
        <v>1103</v>
      </c>
      <c r="B1068" s="5">
        <v>4.2</v>
      </c>
      <c r="C1068" t="s">
        <v>1101</v>
      </c>
      <c r="D1068" t="s">
        <v>1100</v>
      </c>
      <c r="E1068" t="s">
        <v>1044</v>
      </c>
      <c r="F1068" s="4">
        <v>70000</v>
      </c>
      <c r="G1068" s="4">
        <v>104000</v>
      </c>
      <c r="H1068" s="4">
        <f t="shared" si="16"/>
        <v>87000</v>
      </c>
      <c r="I1068">
        <v>0</v>
      </c>
      <c r="J1068">
        <v>0</v>
      </c>
      <c r="K1068">
        <v>0</v>
      </c>
      <c r="L1068">
        <v>0</v>
      </c>
      <c r="M1068">
        <v>1</v>
      </c>
    </row>
    <row r="1069" spans="1:13" x14ac:dyDescent="0.25">
      <c r="A1069" t="s">
        <v>0</v>
      </c>
      <c r="B1069" s="5">
        <v>3.9</v>
      </c>
      <c r="C1069" t="s">
        <v>1104</v>
      </c>
      <c r="D1069" t="s">
        <v>1105</v>
      </c>
      <c r="E1069" t="s">
        <v>1044</v>
      </c>
      <c r="F1069" s="4">
        <v>99000</v>
      </c>
      <c r="G1069" s="4">
        <v>138000</v>
      </c>
      <c r="H1069" s="4">
        <f t="shared" si="16"/>
        <v>118500</v>
      </c>
      <c r="I1069">
        <v>0</v>
      </c>
      <c r="J1069">
        <v>0</v>
      </c>
      <c r="K1069">
        <v>0</v>
      </c>
      <c r="L1069">
        <v>0</v>
      </c>
      <c r="M1069">
        <v>1</v>
      </c>
    </row>
    <row r="1070" spans="1:13" x14ac:dyDescent="0.25">
      <c r="A1070" t="s">
        <v>1106</v>
      </c>
      <c r="B1070" s="5">
        <v>3.7</v>
      </c>
      <c r="C1070" t="s">
        <v>1107</v>
      </c>
      <c r="D1070" t="s">
        <v>1105</v>
      </c>
      <c r="E1070" t="s">
        <v>1044</v>
      </c>
      <c r="F1070" s="4">
        <v>92000</v>
      </c>
      <c r="G1070" s="4">
        <v>124000</v>
      </c>
      <c r="H1070" s="4">
        <f t="shared" si="16"/>
        <v>108000</v>
      </c>
      <c r="I1070">
        <v>0</v>
      </c>
      <c r="J1070">
        <v>1</v>
      </c>
      <c r="K1070">
        <v>1</v>
      </c>
      <c r="L1070">
        <v>1</v>
      </c>
      <c r="M1070">
        <v>1</v>
      </c>
    </row>
    <row r="1071" spans="1:13" x14ac:dyDescent="0.25">
      <c r="A1071" t="s">
        <v>0</v>
      </c>
      <c r="B1071" s="5">
        <v>2.7</v>
      </c>
      <c r="C1071" t="s">
        <v>1108</v>
      </c>
      <c r="D1071" t="s">
        <v>1105</v>
      </c>
      <c r="E1071" t="s">
        <v>1044</v>
      </c>
      <c r="F1071" s="4">
        <v>88000</v>
      </c>
      <c r="G1071" s="4">
        <v>124000</v>
      </c>
      <c r="H1071" s="4">
        <f t="shared" si="16"/>
        <v>106000</v>
      </c>
      <c r="I1071">
        <v>0</v>
      </c>
      <c r="J1071">
        <v>0</v>
      </c>
      <c r="K1071">
        <v>0</v>
      </c>
      <c r="L1071">
        <v>0</v>
      </c>
      <c r="M1071">
        <v>1</v>
      </c>
    </row>
    <row r="1072" spans="1:13" x14ac:dyDescent="0.25">
      <c r="A1072" t="s">
        <v>1109</v>
      </c>
      <c r="B1072" s="5">
        <v>3.8</v>
      </c>
      <c r="C1072" t="s">
        <v>1110</v>
      </c>
      <c r="D1072" t="s">
        <v>1105</v>
      </c>
      <c r="E1072" t="s">
        <v>1044</v>
      </c>
      <c r="F1072" s="4">
        <v>74000</v>
      </c>
      <c r="G1072" s="4">
        <v>115000</v>
      </c>
      <c r="H1072" s="4">
        <f t="shared" si="16"/>
        <v>94500</v>
      </c>
      <c r="I1072">
        <v>0</v>
      </c>
      <c r="J1072">
        <v>0</v>
      </c>
      <c r="K1072">
        <v>0</v>
      </c>
      <c r="L1072">
        <v>0</v>
      </c>
      <c r="M1072">
        <v>1</v>
      </c>
    </row>
    <row r="1073" spans="1:13" x14ac:dyDescent="0.25">
      <c r="A1073" t="s">
        <v>1111</v>
      </c>
      <c r="B1073" s="5">
        <v>3.5</v>
      </c>
      <c r="C1073" t="s">
        <v>1112</v>
      </c>
      <c r="D1073" t="s">
        <v>1113</v>
      </c>
      <c r="E1073" t="s">
        <v>1044</v>
      </c>
      <c r="F1073" s="4">
        <v>76000</v>
      </c>
      <c r="G1073" s="4">
        <v>111000</v>
      </c>
      <c r="H1073" s="4">
        <f t="shared" si="16"/>
        <v>93500</v>
      </c>
      <c r="I1073">
        <v>0</v>
      </c>
      <c r="J1073">
        <v>0</v>
      </c>
      <c r="K1073">
        <v>0</v>
      </c>
      <c r="L1073">
        <v>0</v>
      </c>
      <c r="M1073">
        <v>1</v>
      </c>
    </row>
    <row r="1074" spans="1:13" x14ac:dyDescent="0.25">
      <c r="A1074" t="s">
        <v>1114</v>
      </c>
      <c r="B1074" s="5">
        <v>5</v>
      </c>
      <c r="C1074" t="s">
        <v>1115</v>
      </c>
      <c r="D1074" t="s">
        <v>1113</v>
      </c>
      <c r="E1074" t="s">
        <v>1044</v>
      </c>
      <c r="F1074" s="4">
        <v>71000</v>
      </c>
      <c r="G1074" s="4">
        <v>111000</v>
      </c>
      <c r="H1074" s="4">
        <f t="shared" si="16"/>
        <v>91000</v>
      </c>
      <c r="I1074">
        <v>0</v>
      </c>
      <c r="J1074">
        <v>1</v>
      </c>
      <c r="K1074">
        <v>0</v>
      </c>
      <c r="L1074">
        <v>0</v>
      </c>
      <c r="M1074">
        <v>1</v>
      </c>
    </row>
    <row r="1075" spans="1:13" x14ac:dyDescent="0.25">
      <c r="A1075" t="s">
        <v>511</v>
      </c>
      <c r="B1075" s="5">
        <v>3.5</v>
      </c>
      <c r="C1075" t="s">
        <v>395</v>
      </c>
      <c r="D1075" t="s">
        <v>1116</v>
      </c>
      <c r="E1075" t="s">
        <v>1117</v>
      </c>
      <c r="F1075" s="4">
        <v>156000</v>
      </c>
      <c r="G1075" s="4">
        <v>303000</v>
      </c>
      <c r="H1075" s="4">
        <f t="shared" si="16"/>
        <v>229500</v>
      </c>
      <c r="I1075">
        <v>0</v>
      </c>
      <c r="J1075">
        <v>0</v>
      </c>
      <c r="K1075">
        <v>0</v>
      </c>
      <c r="L1075">
        <v>0</v>
      </c>
      <c r="M1075">
        <v>1</v>
      </c>
    </row>
    <row r="1076" spans="1:13" x14ac:dyDescent="0.25">
      <c r="A1076" t="s">
        <v>1118</v>
      </c>
      <c r="B1076" s="5">
        <v>5</v>
      </c>
      <c r="C1076" t="s">
        <v>1119</v>
      </c>
      <c r="D1076" t="s">
        <v>1120</v>
      </c>
      <c r="E1076" t="s">
        <v>1117</v>
      </c>
      <c r="F1076" s="4">
        <v>115000</v>
      </c>
      <c r="G1076" s="4">
        <v>160000</v>
      </c>
      <c r="H1076" s="4">
        <f t="shared" si="16"/>
        <v>137500</v>
      </c>
      <c r="I1076">
        <v>0</v>
      </c>
      <c r="J1076">
        <v>0</v>
      </c>
      <c r="K1076">
        <v>0</v>
      </c>
      <c r="L1076">
        <v>0</v>
      </c>
      <c r="M1076">
        <v>1</v>
      </c>
    </row>
    <row r="1077" spans="1:13" x14ac:dyDescent="0.25">
      <c r="A1077" t="s">
        <v>1121</v>
      </c>
      <c r="B1077" s="5">
        <v>4</v>
      </c>
      <c r="C1077" t="s">
        <v>1122</v>
      </c>
      <c r="D1077" t="s">
        <v>1123</v>
      </c>
      <c r="E1077" t="s">
        <v>1117</v>
      </c>
      <c r="F1077" s="4">
        <v>92000</v>
      </c>
      <c r="G1077" s="4">
        <v>138000</v>
      </c>
      <c r="H1077" s="4">
        <f t="shared" si="16"/>
        <v>115000</v>
      </c>
      <c r="I1077">
        <v>0</v>
      </c>
      <c r="J1077">
        <v>0</v>
      </c>
      <c r="K1077">
        <v>0</v>
      </c>
      <c r="L1077">
        <v>0</v>
      </c>
      <c r="M1077">
        <v>1</v>
      </c>
    </row>
    <row r="1078" spans="1:13" x14ac:dyDescent="0.25">
      <c r="A1078" t="s">
        <v>84</v>
      </c>
      <c r="B1078" s="5">
        <v>4.3</v>
      </c>
      <c r="C1078" t="s">
        <v>1124</v>
      </c>
      <c r="D1078" t="s">
        <v>1125</v>
      </c>
      <c r="E1078" t="s">
        <v>1117</v>
      </c>
      <c r="F1078" s="4">
        <v>134000</v>
      </c>
      <c r="G1078" s="4">
        <v>257000</v>
      </c>
      <c r="H1078" s="4">
        <f t="shared" si="16"/>
        <v>195500</v>
      </c>
      <c r="I1078">
        <v>0</v>
      </c>
      <c r="J1078">
        <v>0</v>
      </c>
      <c r="K1078">
        <v>0</v>
      </c>
      <c r="L1078">
        <v>0</v>
      </c>
      <c r="M1078">
        <v>1</v>
      </c>
    </row>
    <row r="1079" spans="1:13" x14ac:dyDescent="0.25">
      <c r="A1079" t="s">
        <v>30</v>
      </c>
      <c r="B1079" s="5">
        <v>4.3</v>
      </c>
      <c r="C1079" t="s">
        <v>1124</v>
      </c>
      <c r="D1079" t="s">
        <v>1125</v>
      </c>
      <c r="E1079" t="s">
        <v>1117</v>
      </c>
      <c r="F1079" s="4">
        <v>112000</v>
      </c>
      <c r="G1079" s="4">
        <v>218000</v>
      </c>
      <c r="H1079" s="4">
        <f t="shared" si="16"/>
        <v>165000</v>
      </c>
      <c r="I1079">
        <v>0</v>
      </c>
      <c r="J1079">
        <v>0</v>
      </c>
      <c r="K1079">
        <v>0</v>
      </c>
      <c r="L1079">
        <v>0</v>
      </c>
      <c r="M1079">
        <v>1</v>
      </c>
    </row>
    <row r="1080" spans="1:13" x14ac:dyDescent="0.25">
      <c r="A1080" t="s">
        <v>30</v>
      </c>
      <c r="B1080" s="5">
        <v>4.3</v>
      </c>
      <c r="C1080" t="s">
        <v>1124</v>
      </c>
      <c r="D1080" t="s">
        <v>1125</v>
      </c>
      <c r="E1080" t="s">
        <v>1117</v>
      </c>
      <c r="F1080" s="4">
        <v>112000</v>
      </c>
      <c r="G1080" s="4">
        <v>218000</v>
      </c>
      <c r="H1080" s="4">
        <f t="shared" si="16"/>
        <v>165000</v>
      </c>
      <c r="I1080">
        <v>0</v>
      </c>
      <c r="J1080">
        <v>0</v>
      </c>
      <c r="K1080">
        <v>0</v>
      </c>
      <c r="L1080">
        <v>0</v>
      </c>
      <c r="M1080">
        <v>1</v>
      </c>
    </row>
    <row r="1081" spans="1:13" x14ac:dyDescent="0.25">
      <c r="A1081" t="s">
        <v>1126</v>
      </c>
      <c r="B1081" s="5">
        <v>4.3</v>
      </c>
      <c r="C1081" t="s">
        <v>1124</v>
      </c>
      <c r="D1081" t="s">
        <v>1125</v>
      </c>
      <c r="E1081" t="s">
        <v>1117</v>
      </c>
      <c r="F1081" s="4">
        <v>94000</v>
      </c>
      <c r="G1081" s="4">
        <v>183000</v>
      </c>
      <c r="H1081" s="4">
        <f t="shared" si="16"/>
        <v>138500</v>
      </c>
      <c r="I1081">
        <v>0</v>
      </c>
      <c r="J1081">
        <v>0</v>
      </c>
      <c r="K1081">
        <v>0</v>
      </c>
      <c r="L1081">
        <v>0</v>
      </c>
      <c r="M1081">
        <v>1</v>
      </c>
    </row>
    <row r="1082" spans="1:13" x14ac:dyDescent="0.25">
      <c r="A1082" t="s">
        <v>1126</v>
      </c>
      <c r="B1082" s="5">
        <v>4.3</v>
      </c>
      <c r="C1082" t="s">
        <v>1124</v>
      </c>
      <c r="D1082" t="s">
        <v>1125</v>
      </c>
      <c r="E1082" t="s">
        <v>1117</v>
      </c>
      <c r="F1082" s="4">
        <v>94000</v>
      </c>
      <c r="G1082" s="4">
        <v>183000</v>
      </c>
      <c r="H1082" s="4">
        <f t="shared" si="16"/>
        <v>138500</v>
      </c>
      <c r="I1082">
        <v>0</v>
      </c>
      <c r="J1082">
        <v>0</v>
      </c>
      <c r="K1082">
        <v>0</v>
      </c>
      <c r="L1082">
        <v>0</v>
      </c>
      <c r="M1082">
        <v>1</v>
      </c>
    </row>
    <row r="1083" spans="1:13" x14ac:dyDescent="0.25">
      <c r="A1083" t="s">
        <v>1127</v>
      </c>
      <c r="B1083" s="5">
        <v>4.5</v>
      </c>
      <c r="C1083" t="s">
        <v>1128</v>
      </c>
      <c r="D1083" t="s">
        <v>1129</v>
      </c>
      <c r="E1083" t="s">
        <v>1117</v>
      </c>
      <c r="F1083" s="4">
        <v>205000</v>
      </c>
      <c r="G1083" s="4">
        <v>251000</v>
      </c>
      <c r="H1083" s="4">
        <f t="shared" si="16"/>
        <v>228000</v>
      </c>
      <c r="I1083">
        <v>0</v>
      </c>
      <c r="J1083">
        <v>0</v>
      </c>
      <c r="K1083">
        <v>0</v>
      </c>
      <c r="L1083">
        <v>0</v>
      </c>
      <c r="M1083">
        <v>1</v>
      </c>
    </row>
    <row r="1084" spans="1:13" x14ac:dyDescent="0.25">
      <c r="A1084" t="s">
        <v>1130</v>
      </c>
      <c r="B1084" s="5">
        <v>3.9</v>
      </c>
      <c r="C1084" t="s">
        <v>1131</v>
      </c>
      <c r="D1084" t="s">
        <v>1129</v>
      </c>
      <c r="E1084" t="s">
        <v>1117</v>
      </c>
      <c r="F1084" s="4">
        <v>188000</v>
      </c>
      <c r="G1084" s="4">
        <v>240000</v>
      </c>
      <c r="H1084" s="4">
        <f t="shared" si="16"/>
        <v>214000</v>
      </c>
      <c r="I1084">
        <v>0</v>
      </c>
      <c r="J1084">
        <v>0</v>
      </c>
      <c r="K1084">
        <v>0</v>
      </c>
      <c r="L1084">
        <v>0</v>
      </c>
      <c r="M1084">
        <v>1</v>
      </c>
    </row>
    <row r="1085" spans="1:13" x14ac:dyDescent="0.25">
      <c r="A1085" t="s">
        <v>1132</v>
      </c>
      <c r="B1085" s="5">
        <v>4.5</v>
      </c>
      <c r="C1085" t="s">
        <v>1128</v>
      </c>
      <c r="D1085" t="s">
        <v>1129</v>
      </c>
      <c r="E1085" t="s">
        <v>1117</v>
      </c>
      <c r="F1085" s="4">
        <v>179000</v>
      </c>
      <c r="G1085" s="4">
        <v>218000</v>
      </c>
      <c r="H1085" s="4">
        <f t="shared" si="16"/>
        <v>198500</v>
      </c>
      <c r="I1085">
        <v>0</v>
      </c>
      <c r="J1085">
        <v>0</v>
      </c>
      <c r="K1085">
        <v>0</v>
      </c>
      <c r="L1085">
        <v>0</v>
      </c>
      <c r="M1085">
        <v>1</v>
      </c>
    </row>
    <row r="1086" spans="1:13" x14ac:dyDescent="0.25">
      <c r="A1086" t="s">
        <v>1133</v>
      </c>
      <c r="B1086" s="5">
        <v>4.5</v>
      </c>
      <c r="C1086" t="s">
        <v>1128</v>
      </c>
      <c r="D1086" t="s">
        <v>1129</v>
      </c>
      <c r="E1086" t="s">
        <v>1117</v>
      </c>
      <c r="F1086" s="4">
        <v>179000</v>
      </c>
      <c r="G1086" s="4">
        <v>218000</v>
      </c>
      <c r="H1086" s="4">
        <f t="shared" si="16"/>
        <v>198500</v>
      </c>
      <c r="I1086">
        <v>0</v>
      </c>
      <c r="J1086">
        <v>0</v>
      </c>
      <c r="K1086">
        <v>0</v>
      </c>
      <c r="L1086">
        <v>0</v>
      </c>
      <c r="M1086">
        <v>1</v>
      </c>
    </row>
    <row r="1087" spans="1:13" x14ac:dyDescent="0.25">
      <c r="A1087" t="s">
        <v>84</v>
      </c>
      <c r="B1087" s="5">
        <v>4</v>
      </c>
      <c r="C1087" t="s">
        <v>1134</v>
      </c>
      <c r="D1087" t="s">
        <v>1129</v>
      </c>
      <c r="E1087" t="s">
        <v>1117</v>
      </c>
      <c r="F1087" s="4">
        <v>168000</v>
      </c>
      <c r="G1087" s="4">
        <v>209000</v>
      </c>
      <c r="H1087" s="4">
        <f t="shared" si="16"/>
        <v>188500</v>
      </c>
      <c r="I1087">
        <v>0</v>
      </c>
      <c r="J1087">
        <v>0</v>
      </c>
      <c r="K1087">
        <v>0</v>
      </c>
      <c r="L1087">
        <v>0</v>
      </c>
      <c r="M1087">
        <v>1</v>
      </c>
    </row>
    <row r="1088" spans="1:13" x14ac:dyDescent="0.25">
      <c r="A1088" t="s">
        <v>84</v>
      </c>
      <c r="B1088" s="5">
        <v>3.5</v>
      </c>
      <c r="C1088" t="s">
        <v>1135</v>
      </c>
      <c r="D1088" t="s">
        <v>1129</v>
      </c>
      <c r="E1088" t="s">
        <v>1117</v>
      </c>
      <c r="F1088" s="4">
        <v>128000</v>
      </c>
      <c r="G1088" s="4">
        <v>173000</v>
      </c>
      <c r="H1088" s="4">
        <f t="shared" si="16"/>
        <v>150500</v>
      </c>
      <c r="I1088">
        <v>0</v>
      </c>
      <c r="J1088">
        <v>0</v>
      </c>
      <c r="K1088">
        <v>0</v>
      </c>
      <c r="L1088">
        <v>0</v>
      </c>
      <c r="M1088">
        <v>1</v>
      </c>
    </row>
    <row r="1089" spans="1:13" x14ac:dyDescent="0.25">
      <c r="A1089" t="s">
        <v>1136</v>
      </c>
      <c r="B1089" s="5">
        <v>4.3</v>
      </c>
      <c r="C1089" t="s">
        <v>1137</v>
      </c>
      <c r="D1089" t="s">
        <v>1129</v>
      </c>
      <c r="E1089" t="s">
        <v>1117</v>
      </c>
      <c r="F1089" s="4">
        <v>125000</v>
      </c>
      <c r="G1089" s="4">
        <v>160000</v>
      </c>
      <c r="H1089" s="4">
        <f t="shared" si="16"/>
        <v>142500</v>
      </c>
      <c r="I1089">
        <v>0</v>
      </c>
      <c r="J1089">
        <v>0</v>
      </c>
      <c r="K1089">
        <v>0</v>
      </c>
      <c r="L1089">
        <v>0</v>
      </c>
      <c r="M1089">
        <v>1</v>
      </c>
    </row>
    <row r="1090" spans="1:13" x14ac:dyDescent="0.25">
      <c r="A1090" t="s">
        <v>0</v>
      </c>
      <c r="B1090" s="5">
        <v>2.8</v>
      </c>
      <c r="C1090" t="s">
        <v>1138</v>
      </c>
      <c r="D1090" t="s">
        <v>1129</v>
      </c>
      <c r="E1090" t="s">
        <v>1117</v>
      </c>
      <c r="F1090" s="4">
        <v>105000</v>
      </c>
      <c r="G1090" s="4">
        <v>140000</v>
      </c>
      <c r="H1090" s="4">
        <f t="shared" si="16"/>
        <v>122500</v>
      </c>
      <c r="I1090">
        <v>0</v>
      </c>
      <c r="J1090">
        <v>0</v>
      </c>
      <c r="K1090">
        <v>0</v>
      </c>
      <c r="L1090">
        <v>0</v>
      </c>
      <c r="M1090">
        <v>1</v>
      </c>
    </row>
    <row r="1091" spans="1:13" x14ac:dyDescent="0.25">
      <c r="A1091" t="s">
        <v>408</v>
      </c>
      <c r="B1091" s="5">
        <v>4.2</v>
      </c>
      <c r="C1091" t="s">
        <v>1139</v>
      </c>
      <c r="D1091" t="s">
        <v>1129</v>
      </c>
      <c r="E1091" t="s">
        <v>1117</v>
      </c>
      <c r="F1091" s="4">
        <v>8000</v>
      </c>
      <c r="G1091" s="4">
        <v>8000</v>
      </c>
      <c r="H1091" s="4">
        <f t="shared" ref="H1091:H1100" si="17">(F1091+G1091)/2</f>
        <v>8000</v>
      </c>
      <c r="I1091">
        <v>0</v>
      </c>
      <c r="J1091">
        <v>0</v>
      </c>
      <c r="K1091">
        <v>0</v>
      </c>
      <c r="L1091">
        <v>0</v>
      </c>
      <c r="M1091">
        <v>1</v>
      </c>
    </row>
    <row r="1092" spans="1:13" x14ac:dyDescent="0.25">
      <c r="A1092" t="s">
        <v>1140</v>
      </c>
      <c r="B1092" s="5">
        <v>3</v>
      </c>
      <c r="C1092" t="s">
        <v>1141</v>
      </c>
      <c r="D1092" t="s">
        <v>1142</v>
      </c>
      <c r="E1092" t="s">
        <v>1117</v>
      </c>
      <c r="F1092" s="4">
        <v>101000</v>
      </c>
      <c r="G1092" s="4">
        <v>138000</v>
      </c>
      <c r="H1092" s="4">
        <f t="shared" si="17"/>
        <v>119500</v>
      </c>
      <c r="I1092">
        <v>0</v>
      </c>
      <c r="J1092">
        <v>0</v>
      </c>
      <c r="K1092">
        <v>0</v>
      </c>
      <c r="L1092">
        <v>0</v>
      </c>
      <c r="M1092">
        <v>1</v>
      </c>
    </row>
    <row r="1093" spans="1:13" x14ac:dyDescent="0.25">
      <c r="A1093" t="s">
        <v>1143</v>
      </c>
      <c r="B1093" s="5">
        <v>3.7</v>
      </c>
      <c r="C1093" t="s">
        <v>1144</v>
      </c>
      <c r="D1093" t="s">
        <v>1145</v>
      </c>
      <c r="E1093" t="s">
        <v>1146</v>
      </c>
      <c r="F1093" s="4">
        <v>66000</v>
      </c>
      <c r="G1093" s="4">
        <v>89000</v>
      </c>
      <c r="H1093" s="4">
        <f t="shared" si="17"/>
        <v>77500</v>
      </c>
      <c r="I1093">
        <v>0</v>
      </c>
      <c r="J1093">
        <v>0</v>
      </c>
      <c r="K1093">
        <v>0</v>
      </c>
      <c r="L1093">
        <v>0</v>
      </c>
      <c r="M1093">
        <v>1</v>
      </c>
    </row>
    <row r="1094" spans="1:13" x14ac:dyDescent="0.25">
      <c r="A1094" t="s">
        <v>1143</v>
      </c>
      <c r="B1094" s="5">
        <v>3.7</v>
      </c>
      <c r="C1094" t="s">
        <v>1144</v>
      </c>
      <c r="D1094" t="s">
        <v>1145</v>
      </c>
      <c r="E1094" t="s">
        <v>1146</v>
      </c>
      <c r="F1094" s="4">
        <v>66000</v>
      </c>
      <c r="G1094" s="4">
        <v>89000</v>
      </c>
      <c r="H1094" s="4">
        <f t="shared" si="17"/>
        <v>77500</v>
      </c>
      <c r="I1094">
        <v>0</v>
      </c>
      <c r="J1094">
        <v>0</v>
      </c>
      <c r="K1094">
        <v>0</v>
      </c>
      <c r="L1094">
        <v>0</v>
      </c>
      <c r="M1094">
        <v>1</v>
      </c>
    </row>
    <row r="1095" spans="1:13" x14ac:dyDescent="0.25">
      <c r="A1095" t="s">
        <v>1147</v>
      </c>
      <c r="B1095" s="5">
        <v>3.7</v>
      </c>
      <c r="C1095" t="s">
        <v>1148</v>
      </c>
      <c r="D1095" t="s">
        <v>1149</v>
      </c>
      <c r="E1095" t="s">
        <v>1146</v>
      </c>
      <c r="F1095" s="4">
        <v>146000</v>
      </c>
      <c r="G1095" s="4">
        <v>146000</v>
      </c>
      <c r="H1095" s="4">
        <f t="shared" si="17"/>
        <v>146000</v>
      </c>
      <c r="I1095">
        <v>0</v>
      </c>
      <c r="J1095">
        <v>0</v>
      </c>
      <c r="K1095">
        <v>0</v>
      </c>
      <c r="L1095">
        <v>0</v>
      </c>
      <c r="M1095">
        <v>1</v>
      </c>
    </row>
    <row r="1096" spans="1:13" x14ac:dyDescent="0.25">
      <c r="A1096" t="s">
        <v>1150</v>
      </c>
      <c r="B1096" s="5">
        <v>3.4</v>
      </c>
      <c r="C1096" t="s">
        <v>1151</v>
      </c>
      <c r="D1096" t="s">
        <v>1152</v>
      </c>
      <c r="E1096" t="s">
        <v>1146</v>
      </c>
      <c r="F1096" s="4">
        <v>85000</v>
      </c>
      <c r="G1096" s="4">
        <v>120000</v>
      </c>
      <c r="H1096" s="4">
        <f t="shared" si="17"/>
        <v>102500</v>
      </c>
      <c r="I1096">
        <v>0</v>
      </c>
      <c r="J1096">
        <v>0</v>
      </c>
      <c r="K1096">
        <v>0</v>
      </c>
      <c r="L1096">
        <v>0</v>
      </c>
      <c r="M1096">
        <v>1</v>
      </c>
    </row>
    <row r="1097" spans="1:13" x14ac:dyDescent="0.25">
      <c r="A1097" t="s">
        <v>0</v>
      </c>
      <c r="B1097" s="5">
        <v>3.6</v>
      </c>
      <c r="C1097" t="s">
        <v>1153</v>
      </c>
      <c r="D1097" t="s">
        <v>1154</v>
      </c>
      <c r="E1097" t="s">
        <v>1146</v>
      </c>
      <c r="F1097" s="4">
        <v>82000</v>
      </c>
      <c r="G1097" s="4">
        <v>109000</v>
      </c>
      <c r="H1097" s="4">
        <f t="shared" si="17"/>
        <v>95500</v>
      </c>
      <c r="I1097">
        <v>0</v>
      </c>
      <c r="J1097">
        <v>0</v>
      </c>
      <c r="K1097">
        <v>0</v>
      </c>
      <c r="L1097">
        <v>0</v>
      </c>
      <c r="M1097">
        <v>1</v>
      </c>
    </row>
    <row r="1098" spans="1:13" x14ac:dyDescent="0.25">
      <c r="A1098" t="s">
        <v>1155</v>
      </c>
      <c r="B1098" s="5">
        <v>3.8</v>
      </c>
      <c r="C1098" t="s">
        <v>1156</v>
      </c>
      <c r="D1098" t="s">
        <v>1154</v>
      </c>
      <c r="E1098" t="s">
        <v>1146</v>
      </c>
      <c r="F1098" s="4">
        <v>58000</v>
      </c>
      <c r="G1098" s="4">
        <v>83000</v>
      </c>
      <c r="H1098" s="4">
        <f t="shared" si="17"/>
        <v>70500</v>
      </c>
      <c r="I1098">
        <v>0</v>
      </c>
      <c r="J1098">
        <v>0</v>
      </c>
      <c r="K1098">
        <v>0</v>
      </c>
      <c r="L1098">
        <v>0</v>
      </c>
      <c r="M1098">
        <v>1</v>
      </c>
    </row>
    <row r="1099" spans="1:13" x14ac:dyDescent="0.25">
      <c r="A1099" t="s">
        <v>0</v>
      </c>
      <c r="B1099" s="5">
        <v>3.8</v>
      </c>
      <c r="C1099" t="s">
        <v>1157</v>
      </c>
      <c r="D1099" t="s">
        <v>827</v>
      </c>
      <c r="E1099" t="s">
        <v>1146</v>
      </c>
      <c r="F1099" s="4">
        <v>92000</v>
      </c>
      <c r="G1099" s="4">
        <v>130000</v>
      </c>
      <c r="H1099" s="4">
        <f t="shared" si="17"/>
        <v>111000</v>
      </c>
      <c r="I1099">
        <v>0</v>
      </c>
      <c r="J1099">
        <v>0</v>
      </c>
      <c r="K1099">
        <v>0</v>
      </c>
      <c r="L1099">
        <v>0</v>
      </c>
      <c r="M1099">
        <v>1</v>
      </c>
    </row>
    <row r="1100" spans="1:13" x14ac:dyDescent="0.25">
      <c r="A1100" t="s">
        <v>1158</v>
      </c>
      <c r="B1100" s="5">
        <v>4.0999999999999996</v>
      </c>
      <c r="C1100" t="s">
        <v>1159</v>
      </c>
      <c r="D1100" t="s">
        <v>1160</v>
      </c>
      <c r="E1100" t="s">
        <v>1146</v>
      </c>
      <c r="F1100" s="4">
        <v>87000</v>
      </c>
      <c r="G1100" s="4">
        <v>121000</v>
      </c>
      <c r="H1100" s="4">
        <f t="shared" si="17"/>
        <v>104000</v>
      </c>
      <c r="I1100">
        <v>0</v>
      </c>
      <c r="J1100">
        <v>0</v>
      </c>
      <c r="K1100">
        <v>0</v>
      </c>
      <c r="L1100">
        <v>0</v>
      </c>
      <c r="M110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12245-0399-40CC-BC2A-C388852C2915}">
  <dimension ref="A1:D933"/>
  <sheetViews>
    <sheetView topLeftCell="A593" workbookViewId="0">
      <selection activeCell="F623" sqref="F623"/>
    </sheetView>
  </sheetViews>
  <sheetFormatPr defaultRowHeight="15" x14ac:dyDescent="0.25"/>
  <cols>
    <col min="1" max="1" width="13.42578125" bestFit="1" customWidth="1"/>
    <col min="2" max="2" width="26.85546875" style="4" bestFit="1" customWidth="1"/>
    <col min="3" max="3" width="24.28515625" style="4" bestFit="1" customWidth="1"/>
    <col min="4" max="4" width="26" style="5" bestFit="1" customWidth="1"/>
    <col min="5" max="5" width="16" bestFit="1" customWidth="1"/>
    <col min="6" max="6" width="9.140625" bestFit="1" customWidth="1"/>
    <col min="7" max="7" width="11.28515625" bestFit="1" customWidth="1"/>
    <col min="8" max="9" width="6.140625" bestFit="1" customWidth="1"/>
    <col min="10" max="10" width="8.42578125" bestFit="1" customWidth="1"/>
    <col min="11" max="12" width="6.140625" bestFit="1" customWidth="1"/>
    <col min="13" max="14" width="9.140625" bestFit="1" customWidth="1"/>
    <col min="15" max="15" width="11.28515625" bestFit="1" customWidth="1"/>
    <col min="16" max="16" width="6.140625" bestFit="1" customWidth="1"/>
    <col min="17" max="17" width="9.140625" bestFit="1" customWidth="1"/>
    <col min="18" max="18" width="8.42578125" bestFit="1" customWidth="1"/>
    <col min="19" max="20" width="6.140625" bestFit="1" customWidth="1"/>
    <col min="21" max="21" width="8.42578125" bestFit="1" customWidth="1"/>
    <col min="22" max="23" width="6.140625" bestFit="1" customWidth="1"/>
    <col min="24" max="24" width="9.140625" bestFit="1" customWidth="1"/>
    <col min="27" max="28" width="11.28515625" bestFit="1" customWidth="1"/>
  </cols>
  <sheetData>
    <row r="1" spans="1:4" x14ac:dyDescent="0.25">
      <c r="A1" s="1" t="s">
        <v>1173</v>
      </c>
      <c r="B1" t="s">
        <v>1177</v>
      </c>
      <c r="C1"/>
      <c r="D1"/>
    </row>
    <row r="2" spans="1:4" x14ac:dyDescent="0.25">
      <c r="A2" s="2" t="s">
        <v>1044</v>
      </c>
      <c r="B2" s="3">
        <v>23</v>
      </c>
      <c r="C2"/>
      <c r="D2"/>
    </row>
    <row r="3" spans="1:4" x14ac:dyDescent="0.25">
      <c r="A3" s="2" t="s">
        <v>930</v>
      </c>
      <c r="B3" s="3">
        <v>19</v>
      </c>
      <c r="C3"/>
      <c r="D3"/>
    </row>
    <row r="4" spans="1:4" x14ac:dyDescent="0.25">
      <c r="A4" s="2" t="s">
        <v>33</v>
      </c>
      <c r="B4" s="3">
        <v>11</v>
      </c>
      <c r="C4"/>
      <c r="D4"/>
    </row>
    <row r="5" spans="1:4" x14ac:dyDescent="0.25">
      <c r="A5" s="2" t="s">
        <v>938</v>
      </c>
      <c r="B5" s="3">
        <v>6</v>
      </c>
      <c r="C5"/>
      <c r="D5"/>
    </row>
    <row r="6" spans="1:4" x14ac:dyDescent="0.25">
      <c r="A6" s="2" t="s">
        <v>855</v>
      </c>
      <c r="B6" s="3">
        <v>3</v>
      </c>
      <c r="C6"/>
      <c r="D6"/>
    </row>
    <row r="7" spans="1:4" x14ac:dyDescent="0.25">
      <c r="A7" s="2" t="s">
        <v>361</v>
      </c>
      <c r="B7" s="3">
        <v>2</v>
      </c>
      <c r="C7"/>
      <c r="D7"/>
    </row>
    <row r="8" spans="1:4" x14ac:dyDescent="0.25">
      <c r="A8" s="2" t="s">
        <v>438</v>
      </c>
      <c r="B8" s="3">
        <v>2</v>
      </c>
      <c r="C8"/>
      <c r="D8"/>
    </row>
    <row r="9" spans="1:4" x14ac:dyDescent="0.25">
      <c r="A9" s="2" t="s">
        <v>324</v>
      </c>
      <c r="B9" s="3">
        <v>2</v>
      </c>
      <c r="C9"/>
      <c r="D9"/>
    </row>
    <row r="10" spans="1:4" x14ac:dyDescent="0.25">
      <c r="A10" s="2" t="s">
        <v>271</v>
      </c>
      <c r="B10" s="3">
        <v>1</v>
      </c>
      <c r="C10"/>
      <c r="D10"/>
    </row>
    <row r="11" spans="1:4" x14ac:dyDescent="0.25">
      <c r="A11" s="2" t="s">
        <v>835</v>
      </c>
      <c r="B11" s="3">
        <v>1</v>
      </c>
      <c r="C11"/>
      <c r="D11"/>
    </row>
    <row r="12" spans="1:4" x14ac:dyDescent="0.25">
      <c r="A12" s="2" t="s">
        <v>812</v>
      </c>
      <c r="B12" s="3">
        <v>1</v>
      </c>
      <c r="C12"/>
      <c r="D12"/>
    </row>
    <row r="13" spans="1:4" x14ac:dyDescent="0.25">
      <c r="A13" s="2" t="s">
        <v>429</v>
      </c>
      <c r="B13" s="3">
        <v>1</v>
      </c>
      <c r="C13"/>
      <c r="D13"/>
    </row>
    <row r="14" spans="1:4" x14ac:dyDescent="0.25">
      <c r="A14" s="2" t="s">
        <v>610</v>
      </c>
      <c r="B14" s="3">
        <v>1</v>
      </c>
      <c r="C14"/>
      <c r="D14"/>
    </row>
    <row r="15" spans="1:4" x14ac:dyDescent="0.25">
      <c r="A15" s="2" t="s">
        <v>700</v>
      </c>
      <c r="B15" s="3">
        <v>1</v>
      </c>
      <c r="C15"/>
      <c r="D15"/>
    </row>
    <row r="16" spans="1:4" x14ac:dyDescent="0.25">
      <c r="A16" s="2" t="s">
        <v>709</v>
      </c>
      <c r="B16" s="3">
        <v>1</v>
      </c>
      <c r="C16"/>
      <c r="D16"/>
    </row>
    <row r="17" spans="1:4" x14ac:dyDescent="0.25">
      <c r="A17" s="2" t="s">
        <v>16</v>
      </c>
      <c r="B17" s="3">
        <v>1</v>
      </c>
      <c r="C17"/>
      <c r="D17"/>
    </row>
    <row r="18" spans="1:4" x14ac:dyDescent="0.25">
      <c r="A18" s="2" t="s">
        <v>1027</v>
      </c>
      <c r="B18" s="3">
        <v>1</v>
      </c>
      <c r="C18"/>
      <c r="D18"/>
    </row>
    <row r="19" spans="1:4" x14ac:dyDescent="0.25">
      <c r="A19" s="2" t="s">
        <v>635</v>
      </c>
      <c r="B19" s="3">
        <v>1</v>
      </c>
      <c r="C19"/>
      <c r="D19"/>
    </row>
    <row r="20" spans="1:4" x14ac:dyDescent="0.25">
      <c r="A20" s="2" t="s">
        <v>666</v>
      </c>
      <c r="B20" s="3">
        <v>1</v>
      </c>
      <c r="C20"/>
      <c r="D20"/>
    </row>
    <row r="21" spans="1:4" x14ac:dyDescent="0.25">
      <c r="A21" s="2" t="s">
        <v>1174</v>
      </c>
      <c r="B21" s="3">
        <v>79</v>
      </c>
      <c r="C21"/>
      <c r="D21"/>
    </row>
    <row r="22" spans="1:4" x14ac:dyDescent="0.25">
      <c r="B22"/>
      <c r="C22"/>
      <c r="D22"/>
    </row>
    <row r="23" spans="1:4" x14ac:dyDescent="0.25">
      <c r="B23"/>
      <c r="C23"/>
      <c r="D23"/>
    </row>
    <row r="24" spans="1:4" x14ac:dyDescent="0.25">
      <c r="B24"/>
      <c r="C24"/>
      <c r="D24"/>
    </row>
    <row r="25" spans="1:4" x14ac:dyDescent="0.25">
      <c r="B25"/>
      <c r="C25"/>
      <c r="D25"/>
    </row>
    <row r="26" spans="1:4" x14ac:dyDescent="0.25">
      <c r="B26"/>
      <c r="C26"/>
      <c r="D26"/>
    </row>
    <row r="27" spans="1:4" x14ac:dyDescent="0.25">
      <c r="B27"/>
      <c r="C27"/>
      <c r="D27"/>
    </row>
    <row r="28" spans="1:4" x14ac:dyDescent="0.25">
      <c r="B28"/>
      <c r="C28"/>
      <c r="D28"/>
    </row>
    <row r="29" spans="1:4" x14ac:dyDescent="0.25">
      <c r="B29"/>
      <c r="C29"/>
      <c r="D29"/>
    </row>
    <row r="30" spans="1:4" x14ac:dyDescent="0.25">
      <c r="B30"/>
      <c r="C30"/>
      <c r="D30"/>
    </row>
    <row r="31" spans="1:4" x14ac:dyDescent="0.25">
      <c r="B31"/>
      <c r="C31"/>
      <c r="D31"/>
    </row>
    <row r="32" spans="1:4" x14ac:dyDescent="0.25">
      <c r="B32"/>
      <c r="C32"/>
      <c r="D32"/>
    </row>
    <row r="33" spans="1:4" x14ac:dyDescent="0.25">
      <c r="B33"/>
      <c r="C33"/>
      <c r="D33"/>
    </row>
    <row r="34" spans="1:4" x14ac:dyDescent="0.25">
      <c r="B34"/>
      <c r="C34"/>
      <c r="D34"/>
    </row>
    <row r="35" spans="1:4" x14ac:dyDescent="0.25">
      <c r="B35"/>
      <c r="C35"/>
      <c r="D35"/>
    </row>
    <row r="36" spans="1:4" x14ac:dyDescent="0.25">
      <c r="B36"/>
      <c r="C36"/>
      <c r="D36"/>
    </row>
    <row r="37" spans="1:4" x14ac:dyDescent="0.25">
      <c r="B37"/>
      <c r="C37"/>
      <c r="D37"/>
    </row>
    <row r="38" spans="1:4" x14ac:dyDescent="0.25">
      <c r="B38"/>
      <c r="C38"/>
      <c r="D38"/>
    </row>
    <row r="39" spans="1:4" x14ac:dyDescent="0.25">
      <c r="B39"/>
      <c r="C39"/>
      <c r="D39"/>
    </row>
    <row r="40" spans="1:4" x14ac:dyDescent="0.25">
      <c r="B40"/>
      <c r="C40"/>
      <c r="D40"/>
    </row>
    <row r="41" spans="1:4" x14ac:dyDescent="0.25">
      <c r="B41"/>
      <c r="C41"/>
      <c r="D41"/>
    </row>
    <row r="42" spans="1:4" x14ac:dyDescent="0.25">
      <c r="B42"/>
      <c r="C42"/>
      <c r="D42"/>
    </row>
    <row r="43" spans="1:4" x14ac:dyDescent="0.25">
      <c r="B43"/>
      <c r="C43"/>
      <c r="D43"/>
    </row>
    <row r="44" spans="1:4" x14ac:dyDescent="0.25">
      <c r="B44"/>
      <c r="C44"/>
      <c r="D44"/>
    </row>
    <row r="45" spans="1:4" x14ac:dyDescent="0.25">
      <c r="B45"/>
      <c r="C45"/>
      <c r="D45"/>
    </row>
    <row r="46" spans="1:4" x14ac:dyDescent="0.25">
      <c r="B46"/>
      <c r="C46"/>
      <c r="D46"/>
    </row>
    <row r="47" spans="1:4" x14ac:dyDescent="0.25">
      <c r="A47" s="1" t="s">
        <v>1173</v>
      </c>
      <c r="B47" t="s">
        <v>1177</v>
      </c>
      <c r="C47"/>
      <c r="D47"/>
    </row>
    <row r="48" spans="1:4" x14ac:dyDescent="0.25">
      <c r="A48" s="2" t="s">
        <v>1076</v>
      </c>
      <c r="B48" s="3">
        <v>20</v>
      </c>
      <c r="C48"/>
      <c r="D48"/>
    </row>
    <row r="49" spans="1:4" x14ac:dyDescent="0.25">
      <c r="A49" s="2" t="s">
        <v>928</v>
      </c>
      <c r="B49" s="3">
        <v>19</v>
      </c>
      <c r="C49"/>
      <c r="D49"/>
    </row>
    <row r="50" spans="1:4" x14ac:dyDescent="0.25">
      <c r="A50" s="2" t="s">
        <v>155</v>
      </c>
      <c r="B50" s="3">
        <v>2</v>
      </c>
      <c r="C50"/>
      <c r="D50"/>
    </row>
    <row r="51" spans="1:4" x14ac:dyDescent="0.25">
      <c r="A51" s="2" t="s">
        <v>144</v>
      </c>
      <c r="B51" s="3">
        <v>2</v>
      </c>
      <c r="C51"/>
      <c r="D51"/>
    </row>
    <row r="52" spans="1:4" x14ac:dyDescent="0.25">
      <c r="A52" s="2" t="s">
        <v>130</v>
      </c>
      <c r="B52" s="3">
        <v>2</v>
      </c>
      <c r="C52"/>
      <c r="D52"/>
    </row>
    <row r="53" spans="1:4" x14ac:dyDescent="0.25">
      <c r="A53" s="2" t="s">
        <v>727</v>
      </c>
      <c r="B53" s="3">
        <v>1</v>
      </c>
      <c r="C53"/>
      <c r="D53"/>
    </row>
    <row r="54" spans="1:4" x14ac:dyDescent="0.25">
      <c r="A54" s="2" t="s">
        <v>683</v>
      </c>
      <c r="B54" s="3">
        <v>1</v>
      </c>
      <c r="C54"/>
      <c r="D54"/>
    </row>
    <row r="55" spans="1:4" x14ac:dyDescent="0.25">
      <c r="A55" s="2" t="s">
        <v>961</v>
      </c>
      <c r="B55" s="3">
        <v>1</v>
      </c>
      <c r="C55"/>
      <c r="D55"/>
    </row>
    <row r="56" spans="1:4" x14ac:dyDescent="0.25">
      <c r="A56" s="2" t="s">
        <v>976</v>
      </c>
      <c r="B56" s="3">
        <v>1</v>
      </c>
      <c r="C56"/>
      <c r="D56"/>
    </row>
    <row r="57" spans="1:4" x14ac:dyDescent="0.25">
      <c r="A57" s="2" t="s">
        <v>1041</v>
      </c>
      <c r="B57" s="3">
        <v>1</v>
      </c>
      <c r="C57"/>
      <c r="D57"/>
    </row>
    <row r="58" spans="1:4" x14ac:dyDescent="0.25">
      <c r="A58" s="2" t="s">
        <v>832</v>
      </c>
      <c r="B58" s="3">
        <v>1</v>
      </c>
      <c r="C58"/>
      <c r="D58"/>
    </row>
    <row r="59" spans="1:4" x14ac:dyDescent="0.25">
      <c r="A59" s="2" t="s">
        <v>981</v>
      </c>
      <c r="B59" s="3">
        <v>1</v>
      </c>
      <c r="C59"/>
      <c r="D59"/>
    </row>
    <row r="60" spans="1:4" x14ac:dyDescent="0.25">
      <c r="A60" s="2" t="s">
        <v>1080</v>
      </c>
      <c r="B60" s="3">
        <v>1</v>
      </c>
      <c r="C60"/>
      <c r="D60"/>
    </row>
    <row r="61" spans="1:4" x14ac:dyDescent="0.25">
      <c r="A61" s="2" t="s">
        <v>922</v>
      </c>
      <c r="B61" s="3">
        <v>1</v>
      </c>
      <c r="C61"/>
      <c r="D61"/>
    </row>
    <row r="62" spans="1:4" x14ac:dyDescent="0.25">
      <c r="A62" s="2" t="s">
        <v>740</v>
      </c>
      <c r="B62" s="3">
        <v>1</v>
      </c>
      <c r="C62"/>
      <c r="D62"/>
    </row>
    <row r="63" spans="1:4" x14ac:dyDescent="0.25">
      <c r="A63" s="2" t="s">
        <v>339</v>
      </c>
      <c r="B63" s="3">
        <v>1</v>
      </c>
      <c r="C63"/>
      <c r="D63"/>
    </row>
    <row r="64" spans="1:4" x14ac:dyDescent="0.25">
      <c r="A64" s="2" t="s">
        <v>293</v>
      </c>
      <c r="B64" s="3">
        <v>1</v>
      </c>
      <c r="C64"/>
      <c r="D64"/>
    </row>
    <row r="65" spans="1:4" x14ac:dyDescent="0.25">
      <c r="A65" s="2" t="s">
        <v>216</v>
      </c>
      <c r="B65" s="3">
        <v>1</v>
      </c>
      <c r="C65"/>
      <c r="D65"/>
    </row>
    <row r="66" spans="1:4" x14ac:dyDescent="0.25">
      <c r="A66" s="2" t="s">
        <v>194</v>
      </c>
      <c r="B66" s="3">
        <v>1</v>
      </c>
      <c r="C66"/>
      <c r="D66"/>
    </row>
    <row r="67" spans="1:4" x14ac:dyDescent="0.25">
      <c r="A67" s="2" t="s">
        <v>380</v>
      </c>
      <c r="B67" s="3">
        <v>1</v>
      </c>
      <c r="C67"/>
      <c r="D67"/>
    </row>
    <row r="68" spans="1:4" x14ac:dyDescent="0.25">
      <c r="A68" s="2" t="s">
        <v>1071</v>
      </c>
      <c r="B68" s="3">
        <v>1</v>
      </c>
      <c r="C68"/>
      <c r="D68"/>
    </row>
    <row r="69" spans="1:4" x14ac:dyDescent="0.25">
      <c r="A69" s="2" t="s">
        <v>885</v>
      </c>
      <c r="B69" s="3">
        <v>1</v>
      </c>
      <c r="C69"/>
      <c r="D69"/>
    </row>
    <row r="70" spans="1:4" x14ac:dyDescent="0.25">
      <c r="A70" s="2" t="s">
        <v>1085</v>
      </c>
      <c r="B70" s="3">
        <v>1</v>
      </c>
      <c r="C70"/>
      <c r="D70"/>
    </row>
    <row r="71" spans="1:4" x14ac:dyDescent="0.25">
      <c r="A71" s="2" t="s">
        <v>988</v>
      </c>
      <c r="B71" s="3">
        <v>1</v>
      </c>
      <c r="C71"/>
      <c r="D71"/>
    </row>
    <row r="72" spans="1:4" x14ac:dyDescent="0.25">
      <c r="A72" s="2" t="s">
        <v>337</v>
      </c>
      <c r="B72" s="3">
        <v>1</v>
      </c>
      <c r="C72"/>
      <c r="D72"/>
    </row>
    <row r="73" spans="1:4" x14ac:dyDescent="0.25">
      <c r="A73" s="2" t="s">
        <v>475</v>
      </c>
      <c r="B73" s="3">
        <v>1</v>
      </c>
      <c r="C73"/>
      <c r="D73"/>
    </row>
    <row r="74" spans="1:4" x14ac:dyDescent="0.25">
      <c r="A74" s="2" t="s">
        <v>698</v>
      </c>
      <c r="B74" s="3">
        <v>1</v>
      </c>
      <c r="C74"/>
      <c r="D74"/>
    </row>
    <row r="75" spans="1:4" x14ac:dyDescent="0.25">
      <c r="A75" s="2" t="s">
        <v>431</v>
      </c>
      <c r="B75" s="3">
        <v>1</v>
      </c>
      <c r="C75"/>
      <c r="D75"/>
    </row>
    <row r="76" spans="1:4" x14ac:dyDescent="0.25">
      <c r="A76" s="2" t="s">
        <v>161</v>
      </c>
      <c r="B76" s="3">
        <v>1</v>
      </c>
      <c r="C76"/>
      <c r="D76"/>
    </row>
    <row r="77" spans="1:4" x14ac:dyDescent="0.25">
      <c r="A77" s="2" t="s">
        <v>966</v>
      </c>
      <c r="B77" s="3">
        <v>1</v>
      </c>
      <c r="C77"/>
      <c r="D77"/>
    </row>
    <row r="78" spans="1:4" x14ac:dyDescent="0.25">
      <c r="A78" s="2" t="s">
        <v>845</v>
      </c>
      <c r="B78" s="3">
        <v>1</v>
      </c>
      <c r="C78"/>
      <c r="D78"/>
    </row>
    <row r="79" spans="1:4" x14ac:dyDescent="0.25">
      <c r="A79" s="2" t="s">
        <v>618</v>
      </c>
      <c r="B79" s="3">
        <v>1</v>
      </c>
      <c r="C79"/>
      <c r="D79"/>
    </row>
    <row r="80" spans="1:4" x14ac:dyDescent="0.25">
      <c r="A80" s="2" t="s">
        <v>264</v>
      </c>
      <c r="B80" s="3">
        <v>1</v>
      </c>
      <c r="C80"/>
      <c r="D80"/>
    </row>
    <row r="81" spans="1:4" x14ac:dyDescent="0.25">
      <c r="A81" s="2" t="s">
        <v>645</v>
      </c>
      <c r="B81" s="3">
        <v>1</v>
      </c>
      <c r="C81"/>
      <c r="D81"/>
    </row>
    <row r="82" spans="1:4" x14ac:dyDescent="0.25">
      <c r="A82" s="2" t="s">
        <v>7</v>
      </c>
      <c r="B82" s="3">
        <v>1</v>
      </c>
      <c r="C82"/>
      <c r="D82"/>
    </row>
    <row r="83" spans="1:4" x14ac:dyDescent="0.25">
      <c r="A83" s="2" t="s">
        <v>29</v>
      </c>
      <c r="B83" s="3">
        <v>1</v>
      </c>
      <c r="C83"/>
      <c r="D83"/>
    </row>
    <row r="84" spans="1:4" x14ac:dyDescent="0.25">
      <c r="A84" s="2" t="s">
        <v>886</v>
      </c>
      <c r="B84" s="3">
        <v>1</v>
      </c>
      <c r="C84"/>
      <c r="D84"/>
    </row>
    <row r="85" spans="1:4" x14ac:dyDescent="0.25">
      <c r="A85" s="2" t="s">
        <v>442</v>
      </c>
      <c r="B85" s="3">
        <v>1</v>
      </c>
      <c r="C85"/>
      <c r="D85"/>
    </row>
    <row r="86" spans="1:4" x14ac:dyDescent="0.25">
      <c r="A86" s="2" t="s">
        <v>368</v>
      </c>
      <c r="B86" s="3">
        <v>1</v>
      </c>
      <c r="C86"/>
      <c r="D86"/>
    </row>
    <row r="87" spans="1:4" x14ac:dyDescent="0.25">
      <c r="A87" s="2" t="s">
        <v>1174</v>
      </c>
      <c r="B87" s="3">
        <v>79</v>
      </c>
      <c r="C87"/>
      <c r="D87"/>
    </row>
    <row r="88" spans="1:4" x14ac:dyDescent="0.25">
      <c r="B88"/>
      <c r="C88"/>
      <c r="D88"/>
    </row>
    <row r="89" spans="1:4" x14ac:dyDescent="0.25">
      <c r="B89"/>
      <c r="C89"/>
      <c r="D89"/>
    </row>
    <row r="90" spans="1:4" x14ac:dyDescent="0.25">
      <c r="B90"/>
      <c r="C90"/>
      <c r="D90"/>
    </row>
    <row r="91" spans="1:4" x14ac:dyDescent="0.25">
      <c r="B91"/>
      <c r="C91"/>
      <c r="D91"/>
    </row>
    <row r="92" spans="1:4" x14ac:dyDescent="0.25">
      <c r="B92"/>
      <c r="C92"/>
      <c r="D92"/>
    </row>
    <row r="93" spans="1:4" x14ac:dyDescent="0.25">
      <c r="B93"/>
      <c r="C93"/>
      <c r="D93"/>
    </row>
    <row r="94" spans="1:4" x14ac:dyDescent="0.25">
      <c r="B94"/>
      <c r="C94"/>
      <c r="D94"/>
    </row>
    <row r="95" spans="1:4" x14ac:dyDescent="0.25">
      <c r="B95"/>
      <c r="C95"/>
      <c r="D95"/>
    </row>
    <row r="96" spans="1:4" x14ac:dyDescent="0.25">
      <c r="B96"/>
      <c r="C96"/>
      <c r="D96"/>
    </row>
    <row r="97" spans="2:4" x14ac:dyDescent="0.25">
      <c r="B97"/>
      <c r="C97"/>
      <c r="D97"/>
    </row>
    <row r="98" spans="2:4" x14ac:dyDescent="0.25">
      <c r="B98"/>
      <c r="C98"/>
      <c r="D98"/>
    </row>
    <row r="99" spans="2:4" x14ac:dyDescent="0.25">
      <c r="B99"/>
      <c r="C99"/>
      <c r="D99"/>
    </row>
    <row r="100" spans="2:4" x14ac:dyDescent="0.25">
      <c r="B100"/>
      <c r="C100"/>
      <c r="D100"/>
    </row>
    <row r="101" spans="2:4" x14ac:dyDescent="0.25">
      <c r="B101"/>
      <c r="C101"/>
      <c r="D101"/>
    </row>
    <row r="102" spans="2:4" x14ac:dyDescent="0.25">
      <c r="B102"/>
      <c r="C102"/>
      <c r="D102"/>
    </row>
    <row r="103" spans="2:4" x14ac:dyDescent="0.25">
      <c r="B103"/>
      <c r="C103"/>
      <c r="D103"/>
    </row>
    <row r="104" spans="2:4" x14ac:dyDescent="0.25">
      <c r="B104"/>
      <c r="C104"/>
      <c r="D104"/>
    </row>
    <row r="105" spans="2:4" x14ac:dyDescent="0.25">
      <c r="B105"/>
      <c r="C105"/>
      <c r="D105"/>
    </row>
    <row r="106" spans="2:4" x14ac:dyDescent="0.25">
      <c r="B106"/>
      <c r="C106"/>
      <c r="D106"/>
    </row>
    <row r="107" spans="2:4" x14ac:dyDescent="0.25">
      <c r="B107"/>
      <c r="C107"/>
      <c r="D107"/>
    </row>
    <row r="108" spans="2:4" x14ac:dyDescent="0.25">
      <c r="B108"/>
      <c r="C108"/>
      <c r="D108"/>
    </row>
    <row r="109" spans="2:4" x14ac:dyDescent="0.25">
      <c r="B109"/>
      <c r="C109"/>
      <c r="D109"/>
    </row>
    <row r="110" spans="2:4" x14ac:dyDescent="0.25">
      <c r="B110"/>
      <c r="C110"/>
      <c r="D110"/>
    </row>
    <row r="111" spans="2:4" x14ac:dyDescent="0.25">
      <c r="B111"/>
      <c r="C111"/>
      <c r="D111"/>
    </row>
    <row r="112" spans="2:4" x14ac:dyDescent="0.25">
      <c r="B112"/>
      <c r="C112"/>
      <c r="D112"/>
    </row>
    <row r="113" spans="2:4" x14ac:dyDescent="0.25">
      <c r="B113"/>
      <c r="C113"/>
      <c r="D113"/>
    </row>
    <row r="114" spans="2:4" x14ac:dyDescent="0.25">
      <c r="B114"/>
      <c r="C114"/>
      <c r="D114"/>
    </row>
    <row r="115" spans="2:4" x14ac:dyDescent="0.25">
      <c r="B115"/>
      <c r="C115"/>
      <c r="D115"/>
    </row>
    <row r="116" spans="2:4" x14ac:dyDescent="0.25">
      <c r="B116"/>
      <c r="C116"/>
      <c r="D116"/>
    </row>
    <row r="117" spans="2:4" x14ac:dyDescent="0.25">
      <c r="B117"/>
      <c r="C117"/>
      <c r="D117"/>
    </row>
    <row r="118" spans="2:4" x14ac:dyDescent="0.25">
      <c r="B118"/>
      <c r="C118"/>
      <c r="D118"/>
    </row>
    <row r="119" spans="2:4" x14ac:dyDescent="0.25">
      <c r="B119"/>
      <c r="C119"/>
      <c r="D119"/>
    </row>
    <row r="120" spans="2:4" x14ac:dyDescent="0.25">
      <c r="B120"/>
      <c r="C120"/>
      <c r="D120"/>
    </row>
    <row r="121" spans="2:4" x14ac:dyDescent="0.25">
      <c r="B121"/>
      <c r="C121"/>
      <c r="D121"/>
    </row>
    <row r="122" spans="2:4" x14ac:dyDescent="0.25">
      <c r="B122"/>
      <c r="C122"/>
      <c r="D122"/>
    </row>
    <row r="123" spans="2:4" x14ac:dyDescent="0.25">
      <c r="B123"/>
      <c r="C123"/>
      <c r="D123"/>
    </row>
    <row r="124" spans="2:4" x14ac:dyDescent="0.25">
      <c r="B124"/>
      <c r="C124"/>
      <c r="D124"/>
    </row>
    <row r="125" spans="2:4" x14ac:dyDescent="0.25">
      <c r="B125"/>
      <c r="C125"/>
      <c r="D125"/>
    </row>
    <row r="126" spans="2:4" x14ac:dyDescent="0.25">
      <c r="B126"/>
      <c r="C126"/>
      <c r="D126"/>
    </row>
    <row r="127" spans="2:4" x14ac:dyDescent="0.25">
      <c r="B127"/>
      <c r="C127"/>
      <c r="D127"/>
    </row>
    <row r="128" spans="2:4" x14ac:dyDescent="0.25">
      <c r="B128"/>
      <c r="C128"/>
      <c r="D128"/>
    </row>
    <row r="129" spans="2:4" x14ac:dyDescent="0.25">
      <c r="B129"/>
      <c r="C129"/>
      <c r="D129"/>
    </row>
    <row r="130" spans="2:4" x14ac:dyDescent="0.25">
      <c r="B130"/>
      <c r="C130"/>
      <c r="D130"/>
    </row>
    <row r="131" spans="2:4" x14ac:dyDescent="0.25">
      <c r="B131"/>
      <c r="C131"/>
      <c r="D131"/>
    </row>
    <row r="132" spans="2:4" x14ac:dyDescent="0.25">
      <c r="B132"/>
      <c r="C132"/>
      <c r="D132"/>
    </row>
    <row r="133" spans="2:4" x14ac:dyDescent="0.25">
      <c r="B133"/>
      <c r="C133"/>
      <c r="D133"/>
    </row>
    <row r="134" spans="2:4" x14ac:dyDescent="0.25">
      <c r="B134"/>
      <c r="C134"/>
      <c r="D134"/>
    </row>
    <row r="135" spans="2:4" x14ac:dyDescent="0.25">
      <c r="B135"/>
      <c r="C135"/>
      <c r="D135"/>
    </row>
    <row r="136" spans="2:4" x14ac:dyDescent="0.25">
      <c r="B136"/>
      <c r="C136"/>
      <c r="D136"/>
    </row>
    <row r="137" spans="2:4" x14ac:dyDescent="0.25">
      <c r="B137"/>
      <c r="C137"/>
      <c r="D137"/>
    </row>
    <row r="138" spans="2:4" x14ac:dyDescent="0.25">
      <c r="B138"/>
      <c r="C138"/>
      <c r="D138"/>
    </row>
    <row r="139" spans="2:4" x14ac:dyDescent="0.25">
      <c r="B139"/>
      <c r="C139"/>
      <c r="D139"/>
    </row>
    <row r="140" spans="2:4" x14ac:dyDescent="0.25">
      <c r="B140"/>
      <c r="C140"/>
      <c r="D140"/>
    </row>
    <row r="141" spans="2:4" x14ac:dyDescent="0.25">
      <c r="B141"/>
      <c r="C141"/>
      <c r="D141"/>
    </row>
    <row r="142" spans="2:4" x14ac:dyDescent="0.25">
      <c r="B142"/>
      <c r="C142"/>
      <c r="D142"/>
    </row>
    <row r="143" spans="2:4" x14ac:dyDescent="0.25">
      <c r="B143"/>
      <c r="C143"/>
      <c r="D143"/>
    </row>
    <row r="144" spans="2:4" x14ac:dyDescent="0.25">
      <c r="B144"/>
      <c r="C144"/>
      <c r="D144"/>
    </row>
    <row r="145" spans="2:4" x14ac:dyDescent="0.25">
      <c r="B145"/>
      <c r="C145"/>
      <c r="D145"/>
    </row>
    <row r="146" spans="2:4" x14ac:dyDescent="0.25">
      <c r="B146"/>
      <c r="C146"/>
      <c r="D146"/>
    </row>
    <row r="147" spans="2:4" x14ac:dyDescent="0.25">
      <c r="B147"/>
      <c r="C147"/>
      <c r="D147"/>
    </row>
    <row r="148" spans="2:4" x14ac:dyDescent="0.25">
      <c r="B148"/>
      <c r="C148"/>
      <c r="D148"/>
    </row>
    <row r="149" spans="2:4" x14ac:dyDescent="0.25">
      <c r="B149"/>
      <c r="C149"/>
      <c r="D149"/>
    </row>
    <row r="150" spans="2:4" x14ac:dyDescent="0.25">
      <c r="B150"/>
      <c r="C150"/>
      <c r="D150"/>
    </row>
    <row r="151" spans="2:4" x14ac:dyDescent="0.25">
      <c r="B151"/>
      <c r="C151"/>
      <c r="D151"/>
    </row>
    <row r="152" spans="2:4" x14ac:dyDescent="0.25">
      <c r="B152"/>
      <c r="C152"/>
      <c r="D152"/>
    </row>
    <row r="153" spans="2:4" x14ac:dyDescent="0.25">
      <c r="B153"/>
      <c r="C153"/>
      <c r="D153"/>
    </row>
    <row r="154" spans="2:4" x14ac:dyDescent="0.25">
      <c r="B154"/>
      <c r="C154"/>
      <c r="D154"/>
    </row>
    <row r="155" spans="2:4" x14ac:dyDescent="0.25">
      <c r="B155"/>
      <c r="C155"/>
      <c r="D155"/>
    </row>
    <row r="156" spans="2:4" x14ac:dyDescent="0.25">
      <c r="B156"/>
      <c r="C156"/>
      <c r="D156"/>
    </row>
    <row r="157" spans="2:4" x14ac:dyDescent="0.25">
      <c r="B157"/>
      <c r="C157"/>
      <c r="D157"/>
    </row>
    <row r="158" spans="2:4" x14ac:dyDescent="0.25">
      <c r="B158"/>
      <c r="C158"/>
      <c r="D158"/>
    </row>
    <row r="159" spans="2:4" x14ac:dyDescent="0.25">
      <c r="B159"/>
      <c r="C159"/>
      <c r="D159"/>
    </row>
    <row r="160" spans="2:4" x14ac:dyDescent="0.25">
      <c r="B160"/>
      <c r="C160"/>
      <c r="D160"/>
    </row>
    <row r="161" spans="2:4" x14ac:dyDescent="0.25">
      <c r="B161"/>
      <c r="C161"/>
      <c r="D161"/>
    </row>
    <row r="162" spans="2:4" x14ac:dyDescent="0.25">
      <c r="B162"/>
      <c r="C162"/>
      <c r="D162"/>
    </row>
    <row r="163" spans="2:4" x14ac:dyDescent="0.25">
      <c r="B163"/>
      <c r="C163"/>
      <c r="D163"/>
    </row>
    <row r="164" spans="2:4" x14ac:dyDescent="0.25">
      <c r="B164"/>
      <c r="C164"/>
      <c r="D164"/>
    </row>
    <row r="165" spans="2:4" x14ac:dyDescent="0.25">
      <c r="B165"/>
      <c r="C165"/>
      <c r="D165"/>
    </row>
    <row r="166" spans="2:4" x14ac:dyDescent="0.25">
      <c r="B166"/>
      <c r="C166"/>
      <c r="D166"/>
    </row>
    <row r="167" spans="2:4" x14ac:dyDescent="0.25">
      <c r="B167"/>
      <c r="C167"/>
      <c r="D167"/>
    </row>
    <row r="168" spans="2:4" x14ac:dyDescent="0.25">
      <c r="B168"/>
      <c r="C168"/>
      <c r="D168"/>
    </row>
    <row r="169" spans="2:4" x14ac:dyDescent="0.25">
      <c r="B169"/>
      <c r="C169"/>
      <c r="D169"/>
    </row>
    <row r="170" spans="2:4" x14ac:dyDescent="0.25">
      <c r="B170"/>
      <c r="C170"/>
      <c r="D170"/>
    </row>
    <row r="171" spans="2:4" x14ac:dyDescent="0.25">
      <c r="B171"/>
      <c r="C171"/>
      <c r="D171"/>
    </row>
    <row r="172" spans="2:4" x14ac:dyDescent="0.25">
      <c r="B172"/>
      <c r="C172"/>
      <c r="D172"/>
    </row>
    <row r="173" spans="2:4" x14ac:dyDescent="0.25">
      <c r="B173"/>
      <c r="C173"/>
      <c r="D173"/>
    </row>
    <row r="174" spans="2:4" x14ac:dyDescent="0.25">
      <c r="B174"/>
      <c r="C174"/>
      <c r="D174"/>
    </row>
    <row r="175" spans="2:4" x14ac:dyDescent="0.25">
      <c r="B175"/>
      <c r="C175"/>
      <c r="D175"/>
    </row>
    <row r="176" spans="2:4" x14ac:dyDescent="0.25">
      <c r="B176"/>
      <c r="C176"/>
      <c r="D176"/>
    </row>
    <row r="177" spans="2:4" x14ac:dyDescent="0.25">
      <c r="B177"/>
      <c r="C177"/>
      <c r="D177"/>
    </row>
    <row r="178" spans="2:4" x14ac:dyDescent="0.25">
      <c r="B178"/>
      <c r="C178"/>
      <c r="D178"/>
    </row>
    <row r="179" spans="2:4" x14ac:dyDescent="0.25">
      <c r="B179"/>
      <c r="C179"/>
      <c r="D179"/>
    </row>
    <row r="180" spans="2:4" x14ac:dyDescent="0.25">
      <c r="B180"/>
      <c r="C180"/>
      <c r="D180"/>
    </row>
    <row r="181" spans="2:4" x14ac:dyDescent="0.25">
      <c r="B181"/>
      <c r="C181"/>
      <c r="D181"/>
    </row>
    <row r="182" spans="2:4" x14ac:dyDescent="0.25">
      <c r="B182"/>
      <c r="C182"/>
      <c r="D182"/>
    </row>
    <row r="183" spans="2:4" x14ac:dyDescent="0.25">
      <c r="B183"/>
      <c r="C183"/>
      <c r="D183"/>
    </row>
    <row r="184" spans="2:4" x14ac:dyDescent="0.25">
      <c r="B184"/>
      <c r="C184"/>
      <c r="D184"/>
    </row>
    <row r="185" spans="2:4" x14ac:dyDescent="0.25">
      <c r="B185"/>
      <c r="C185"/>
      <c r="D185"/>
    </row>
    <row r="186" spans="2:4" x14ac:dyDescent="0.25">
      <c r="B186"/>
      <c r="C186"/>
      <c r="D186"/>
    </row>
    <row r="187" spans="2:4" x14ac:dyDescent="0.25">
      <c r="B187"/>
      <c r="C187"/>
      <c r="D187"/>
    </row>
    <row r="188" spans="2:4" x14ac:dyDescent="0.25">
      <c r="B188"/>
      <c r="C188"/>
      <c r="D188"/>
    </row>
    <row r="189" spans="2:4" x14ac:dyDescent="0.25">
      <c r="B189"/>
      <c r="C189"/>
      <c r="D189"/>
    </row>
    <row r="190" spans="2:4" x14ac:dyDescent="0.25">
      <c r="B190"/>
      <c r="C190"/>
      <c r="D190"/>
    </row>
    <row r="191" spans="2:4" x14ac:dyDescent="0.25">
      <c r="B191"/>
      <c r="C191"/>
      <c r="D191"/>
    </row>
    <row r="192" spans="2:4" x14ac:dyDescent="0.25">
      <c r="B192"/>
      <c r="C192"/>
      <c r="D192"/>
    </row>
    <row r="193" spans="2:4" x14ac:dyDescent="0.25">
      <c r="B193"/>
      <c r="C193"/>
      <c r="D193"/>
    </row>
    <row r="194" spans="2:4" x14ac:dyDescent="0.25">
      <c r="B194"/>
      <c r="C194"/>
      <c r="D194"/>
    </row>
    <row r="195" spans="2:4" x14ac:dyDescent="0.25">
      <c r="B195"/>
      <c r="C195"/>
      <c r="D195"/>
    </row>
    <row r="196" spans="2:4" x14ac:dyDescent="0.25">
      <c r="B196"/>
      <c r="C196"/>
      <c r="D196"/>
    </row>
    <row r="197" spans="2:4" x14ac:dyDescent="0.25">
      <c r="B197"/>
      <c r="C197"/>
      <c r="D197"/>
    </row>
    <row r="198" spans="2:4" x14ac:dyDescent="0.25">
      <c r="B198"/>
      <c r="C198"/>
      <c r="D198"/>
    </row>
    <row r="199" spans="2:4" x14ac:dyDescent="0.25">
      <c r="B199"/>
      <c r="C199"/>
      <c r="D199"/>
    </row>
    <row r="200" spans="2:4" x14ac:dyDescent="0.25">
      <c r="B200"/>
      <c r="C200"/>
      <c r="D200"/>
    </row>
    <row r="201" spans="2:4" x14ac:dyDescent="0.25">
      <c r="B201"/>
      <c r="C201"/>
      <c r="D201"/>
    </row>
    <row r="202" spans="2:4" x14ac:dyDescent="0.25">
      <c r="B202"/>
      <c r="C202"/>
      <c r="D202"/>
    </row>
    <row r="203" spans="2:4" x14ac:dyDescent="0.25">
      <c r="B203"/>
      <c r="C203"/>
      <c r="D203"/>
    </row>
    <row r="204" spans="2:4" x14ac:dyDescent="0.25">
      <c r="B204"/>
      <c r="C204"/>
      <c r="D204"/>
    </row>
    <row r="205" spans="2:4" x14ac:dyDescent="0.25">
      <c r="B205"/>
      <c r="C205"/>
      <c r="D205"/>
    </row>
    <row r="206" spans="2:4" x14ac:dyDescent="0.25">
      <c r="B206"/>
      <c r="C206"/>
      <c r="D206"/>
    </row>
    <row r="207" spans="2:4" x14ac:dyDescent="0.25">
      <c r="B207"/>
      <c r="C207"/>
      <c r="D207"/>
    </row>
    <row r="208" spans="2:4" x14ac:dyDescent="0.25">
      <c r="B208"/>
      <c r="C208"/>
      <c r="D208"/>
    </row>
    <row r="209" spans="2:4" x14ac:dyDescent="0.25">
      <c r="B209"/>
      <c r="C209"/>
      <c r="D209"/>
    </row>
    <row r="210" spans="2:4" x14ac:dyDescent="0.25">
      <c r="B210"/>
      <c r="C210"/>
      <c r="D210"/>
    </row>
    <row r="211" spans="2:4" x14ac:dyDescent="0.25">
      <c r="B211"/>
      <c r="C211"/>
      <c r="D211"/>
    </row>
    <row r="212" spans="2:4" x14ac:dyDescent="0.25">
      <c r="B212"/>
      <c r="C212"/>
      <c r="D212"/>
    </row>
    <row r="213" spans="2:4" x14ac:dyDescent="0.25">
      <c r="B213"/>
      <c r="C213"/>
      <c r="D213"/>
    </row>
    <row r="214" spans="2:4" x14ac:dyDescent="0.25">
      <c r="B214"/>
      <c r="C214"/>
      <c r="D214"/>
    </row>
    <row r="215" spans="2:4" x14ac:dyDescent="0.25">
      <c r="B215"/>
      <c r="C215"/>
      <c r="D215"/>
    </row>
    <row r="216" spans="2:4" x14ac:dyDescent="0.25">
      <c r="B216"/>
      <c r="C216"/>
      <c r="D216"/>
    </row>
    <row r="217" spans="2:4" x14ac:dyDescent="0.25">
      <c r="B217"/>
      <c r="C217"/>
      <c r="D217"/>
    </row>
    <row r="218" spans="2:4" x14ac:dyDescent="0.25">
      <c r="B218"/>
      <c r="C218"/>
      <c r="D218"/>
    </row>
    <row r="219" spans="2:4" x14ac:dyDescent="0.25">
      <c r="B219"/>
      <c r="C219"/>
      <c r="D219"/>
    </row>
    <row r="220" spans="2:4" x14ac:dyDescent="0.25">
      <c r="B220"/>
      <c r="C220"/>
      <c r="D220"/>
    </row>
    <row r="221" spans="2:4" x14ac:dyDescent="0.25">
      <c r="B221"/>
      <c r="C221"/>
      <c r="D221"/>
    </row>
    <row r="222" spans="2:4" x14ac:dyDescent="0.25">
      <c r="B222"/>
      <c r="C222"/>
      <c r="D222"/>
    </row>
    <row r="223" spans="2:4" x14ac:dyDescent="0.25">
      <c r="B223"/>
      <c r="C223"/>
      <c r="D223"/>
    </row>
    <row r="224" spans="2:4" x14ac:dyDescent="0.25">
      <c r="B224"/>
      <c r="C224"/>
      <c r="D224"/>
    </row>
    <row r="225" spans="2:4" x14ac:dyDescent="0.25">
      <c r="B225"/>
      <c r="C225"/>
      <c r="D225"/>
    </row>
    <row r="226" spans="2:4" x14ac:dyDescent="0.25">
      <c r="B226"/>
      <c r="C226"/>
      <c r="D226"/>
    </row>
    <row r="227" spans="2:4" x14ac:dyDescent="0.25">
      <c r="B227"/>
      <c r="C227"/>
      <c r="D227"/>
    </row>
    <row r="228" spans="2:4" x14ac:dyDescent="0.25">
      <c r="B228"/>
      <c r="C228"/>
      <c r="D228"/>
    </row>
    <row r="229" spans="2:4" x14ac:dyDescent="0.25">
      <c r="B229"/>
      <c r="C229"/>
      <c r="D229"/>
    </row>
    <row r="230" spans="2:4" x14ac:dyDescent="0.25">
      <c r="B230"/>
      <c r="C230"/>
      <c r="D230"/>
    </row>
    <row r="231" spans="2:4" x14ac:dyDescent="0.25">
      <c r="B231"/>
      <c r="C231"/>
      <c r="D231"/>
    </row>
    <row r="232" spans="2:4" x14ac:dyDescent="0.25">
      <c r="B232"/>
      <c r="C232"/>
      <c r="D232"/>
    </row>
    <row r="233" spans="2:4" x14ac:dyDescent="0.25">
      <c r="B233"/>
      <c r="C233"/>
      <c r="D233"/>
    </row>
    <row r="234" spans="2:4" x14ac:dyDescent="0.25">
      <c r="B234"/>
      <c r="C234"/>
      <c r="D234"/>
    </row>
    <row r="235" spans="2:4" x14ac:dyDescent="0.25">
      <c r="B235"/>
      <c r="C235"/>
      <c r="D235"/>
    </row>
    <row r="236" spans="2:4" x14ac:dyDescent="0.25">
      <c r="B236"/>
      <c r="C236"/>
      <c r="D236"/>
    </row>
    <row r="237" spans="2:4" x14ac:dyDescent="0.25">
      <c r="B237"/>
      <c r="C237"/>
      <c r="D237"/>
    </row>
    <row r="238" spans="2:4" x14ac:dyDescent="0.25">
      <c r="B238"/>
      <c r="C238"/>
      <c r="D238"/>
    </row>
    <row r="239" spans="2:4" x14ac:dyDescent="0.25">
      <c r="B239"/>
      <c r="C239"/>
      <c r="D239"/>
    </row>
    <row r="240" spans="2:4" x14ac:dyDescent="0.25">
      <c r="B240"/>
      <c r="C240"/>
      <c r="D240"/>
    </row>
    <row r="241" spans="2:4" x14ac:dyDescent="0.25">
      <c r="B241"/>
      <c r="C241"/>
      <c r="D241"/>
    </row>
    <row r="242" spans="2:4" x14ac:dyDescent="0.25">
      <c r="B242"/>
      <c r="C242"/>
      <c r="D242"/>
    </row>
    <row r="243" spans="2:4" x14ac:dyDescent="0.25">
      <c r="B243"/>
      <c r="C243"/>
      <c r="D243"/>
    </row>
    <row r="244" spans="2:4" x14ac:dyDescent="0.25">
      <c r="B244"/>
      <c r="C244"/>
      <c r="D244"/>
    </row>
    <row r="245" spans="2:4" x14ac:dyDescent="0.25">
      <c r="B245"/>
      <c r="C245"/>
      <c r="D245"/>
    </row>
    <row r="246" spans="2:4" x14ac:dyDescent="0.25">
      <c r="B246"/>
      <c r="C246"/>
      <c r="D246"/>
    </row>
    <row r="247" spans="2:4" x14ac:dyDescent="0.25">
      <c r="B247"/>
      <c r="C247"/>
      <c r="D247"/>
    </row>
    <row r="248" spans="2:4" x14ac:dyDescent="0.25">
      <c r="B248"/>
      <c r="C248"/>
      <c r="D248"/>
    </row>
    <row r="249" spans="2:4" x14ac:dyDescent="0.25">
      <c r="B249"/>
      <c r="C249"/>
      <c r="D249"/>
    </row>
    <row r="250" spans="2:4" x14ac:dyDescent="0.25">
      <c r="B250"/>
      <c r="C250"/>
      <c r="D250"/>
    </row>
    <row r="251" spans="2:4" x14ac:dyDescent="0.25">
      <c r="B251"/>
      <c r="C251"/>
      <c r="D251"/>
    </row>
    <row r="252" spans="2:4" x14ac:dyDescent="0.25">
      <c r="B252"/>
      <c r="C252"/>
      <c r="D252"/>
    </row>
    <row r="253" spans="2:4" x14ac:dyDescent="0.25">
      <c r="B253"/>
      <c r="C253"/>
      <c r="D253"/>
    </row>
    <row r="254" spans="2:4" x14ac:dyDescent="0.25">
      <c r="B254"/>
      <c r="C254"/>
      <c r="D254"/>
    </row>
    <row r="255" spans="2:4" x14ac:dyDescent="0.25">
      <c r="B255"/>
      <c r="C255"/>
      <c r="D255"/>
    </row>
    <row r="256" spans="2:4" x14ac:dyDescent="0.25">
      <c r="B256"/>
      <c r="C256"/>
      <c r="D256"/>
    </row>
    <row r="257" spans="2:4" x14ac:dyDescent="0.25">
      <c r="B257"/>
      <c r="C257"/>
      <c r="D257"/>
    </row>
    <row r="258" spans="2:4" x14ac:dyDescent="0.25">
      <c r="B258"/>
      <c r="C258"/>
      <c r="D258"/>
    </row>
    <row r="259" spans="2:4" x14ac:dyDescent="0.25">
      <c r="B259"/>
      <c r="C259"/>
      <c r="D259"/>
    </row>
    <row r="260" spans="2:4" x14ac:dyDescent="0.25">
      <c r="B260"/>
      <c r="C260"/>
      <c r="D260"/>
    </row>
    <row r="261" spans="2:4" x14ac:dyDescent="0.25">
      <c r="B261"/>
      <c r="C261"/>
      <c r="D261"/>
    </row>
    <row r="262" spans="2:4" x14ac:dyDescent="0.25">
      <c r="B262"/>
      <c r="C262"/>
      <c r="D262"/>
    </row>
    <row r="263" spans="2:4" x14ac:dyDescent="0.25">
      <c r="B263"/>
      <c r="C263"/>
      <c r="D263"/>
    </row>
    <row r="264" spans="2:4" x14ac:dyDescent="0.25">
      <c r="B264"/>
      <c r="C264"/>
      <c r="D264"/>
    </row>
    <row r="265" spans="2:4" x14ac:dyDescent="0.25">
      <c r="B265"/>
      <c r="C265"/>
      <c r="D265"/>
    </row>
    <row r="266" spans="2:4" x14ac:dyDescent="0.25">
      <c r="B266"/>
      <c r="C266"/>
      <c r="D266"/>
    </row>
    <row r="267" spans="2:4" x14ac:dyDescent="0.25">
      <c r="B267"/>
      <c r="C267"/>
      <c r="D267"/>
    </row>
    <row r="268" spans="2:4" x14ac:dyDescent="0.25">
      <c r="B268"/>
      <c r="C268"/>
      <c r="D268"/>
    </row>
    <row r="269" spans="2:4" x14ac:dyDescent="0.25">
      <c r="B269"/>
      <c r="C269"/>
      <c r="D269"/>
    </row>
    <row r="270" spans="2:4" x14ac:dyDescent="0.25">
      <c r="B270"/>
      <c r="C270"/>
      <c r="D270"/>
    </row>
    <row r="271" spans="2:4" x14ac:dyDescent="0.25">
      <c r="B271"/>
      <c r="C271"/>
      <c r="D271"/>
    </row>
    <row r="272" spans="2:4" x14ac:dyDescent="0.25">
      <c r="B272"/>
      <c r="C272"/>
      <c r="D272"/>
    </row>
    <row r="273" spans="2:4" x14ac:dyDescent="0.25">
      <c r="B273"/>
      <c r="C273"/>
      <c r="D273"/>
    </row>
    <row r="274" spans="2:4" x14ac:dyDescent="0.25">
      <c r="B274"/>
      <c r="C274"/>
      <c r="D274"/>
    </row>
    <row r="275" spans="2:4" x14ac:dyDescent="0.25">
      <c r="B275"/>
      <c r="C275"/>
      <c r="D275"/>
    </row>
    <row r="276" spans="2:4" x14ac:dyDescent="0.25">
      <c r="B276"/>
      <c r="C276"/>
      <c r="D276"/>
    </row>
    <row r="277" spans="2:4" x14ac:dyDescent="0.25">
      <c r="B277"/>
      <c r="C277"/>
      <c r="D277"/>
    </row>
    <row r="278" spans="2:4" x14ac:dyDescent="0.25">
      <c r="B278"/>
      <c r="C278"/>
      <c r="D278"/>
    </row>
    <row r="279" spans="2:4" x14ac:dyDescent="0.25">
      <c r="B279"/>
      <c r="C279"/>
      <c r="D279"/>
    </row>
    <row r="280" spans="2:4" x14ac:dyDescent="0.25">
      <c r="B280"/>
      <c r="C280"/>
      <c r="D280"/>
    </row>
    <row r="281" spans="2:4" x14ac:dyDescent="0.25">
      <c r="B281"/>
      <c r="C281"/>
      <c r="D281"/>
    </row>
    <row r="282" spans="2:4" x14ac:dyDescent="0.25">
      <c r="B282"/>
      <c r="C282"/>
      <c r="D282"/>
    </row>
    <row r="283" spans="2:4" x14ac:dyDescent="0.25">
      <c r="B283"/>
      <c r="C283"/>
      <c r="D283"/>
    </row>
    <row r="284" spans="2:4" x14ac:dyDescent="0.25">
      <c r="B284"/>
      <c r="C284"/>
      <c r="D284"/>
    </row>
    <row r="285" spans="2:4" x14ac:dyDescent="0.25">
      <c r="B285"/>
      <c r="C285"/>
      <c r="D285"/>
    </row>
    <row r="286" spans="2:4" x14ac:dyDescent="0.25">
      <c r="B286"/>
      <c r="C286"/>
      <c r="D286"/>
    </row>
    <row r="287" spans="2:4" x14ac:dyDescent="0.25">
      <c r="B287"/>
      <c r="C287"/>
      <c r="D287"/>
    </row>
    <row r="288" spans="2:4" x14ac:dyDescent="0.25">
      <c r="B288"/>
      <c r="C288"/>
      <c r="D288"/>
    </row>
    <row r="289" spans="2:4" x14ac:dyDescent="0.25">
      <c r="B289"/>
      <c r="C289"/>
      <c r="D289"/>
    </row>
    <row r="290" spans="2:4" x14ac:dyDescent="0.25">
      <c r="B290"/>
      <c r="C290"/>
      <c r="D290"/>
    </row>
    <row r="291" spans="2:4" x14ac:dyDescent="0.25">
      <c r="B291"/>
      <c r="C291"/>
      <c r="D291"/>
    </row>
    <row r="292" spans="2:4" x14ac:dyDescent="0.25">
      <c r="B292"/>
      <c r="C292"/>
      <c r="D292"/>
    </row>
    <row r="293" spans="2:4" x14ac:dyDescent="0.25">
      <c r="B293"/>
      <c r="C293"/>
      <c r="D293"/>
    </row>
    <row r="294" spans="2:4" x14ac:dyDescent="0.25">
      <c r="B294"/>
      <c r="C294"/>
      <c r="D294"/>
    </row>
    <row r="295" spans="2:4" x14ac:dyDescent="0.25">
      <c r="B295"/>
      <c r="C295"/>
      <c r="D295"/>
    </row>
    <row r="296" spans="2:4" x14ac:dyDescent="0.25">
      <c r="B296"/>
      <c r="C296"/>
      <c r="D296"/>
    </row>
    <row r="297" spans="2:4" x14ac:dyDescent="0.25">
      <c r="B297"/>
      <c r="C297"/>
      <c r="D297"/>
    </row>
    <row r="298" spans="2:4" x14ac:dyDescent="0.25">
      <c r="B298"/>
      <c r="C298"/>
      <c r="D298"/>
    </row>
    <row r="299" spans="2:4" x14ac:dyDescent="0.25">
      <c r="B299"/>
      <c r="C299"/>
      <c r="D299"/>
    </row>
    <row r="300" spans="2:4" x14ac:dyDescent="0.25">
      <c r="B300"/>
      <c r="C300"/>
      <c r="D300"/>
    </row>
    <row r="301" spans="2:4" x14ac:dyDescent="0.25">
      <c r="B301"/>
      <c r="C301"/>
      <c r="D301"/>
    </row>
    <row r="302" spans="2:4" x14ac:dyDescent="0.25">
      <c r="B302"/>
      <c r="C302"/>
      <c r="D302"/>
    </row>
    <row r="303" spans="2:4" x14ac:dyDescent="0.25">
      <c r="B303"/>
      <c r="C303"/>
      <c r="D303"/>
    </row>
    <row r="304" spans="2:4" x14ac:dyDescent="0.25">
      <c r="B304"/>
      <c r="C304"/>
      <c r="D304"/>
    </row>
    <row r="305" spans="2:4" x14ac:dyDescent="0.25">
      <c r="B305"/>
      <c r="C305"/>
      <c r="D305"/>
    </row>
    <row r="306" spans="2:4" x14ac:dyDescent="0.25">
      <c r="B306"/>
      <c r="C306"/>
      <c r="D306"/>
    </row>
    <row r="307" spans="2:4" x14ac:dyDescent="0.25">
      <c r="B307"/>
      <c r="C307"/>
      <c r="D307"/>
    </row>
    <row r="308" spans="2:4" x14ac:dyDescent="0.25">
      <c r="B308"/>
      <c r="C308"/>
      <c r="D308"/>
    </row>
    <row r="309" spans="2:4" x14ac:dyDescent="0.25">
      <c r="B309"/>
      <c r="C309"/>
      <c r="D309"/>
    </row>
    <row r="310" spans="2:4" x14ac:dyDescent="0.25">
      <c r="B310"/>
      <c r="C310"/>
      <c r="D310"/>
    </row>
    <row r="311" spans="2:4" x14ac:dyDescent="0.25">
      <c r="B311"/>
      <c r="C311"/>
      <c r="D311"/>
    </row>
    <row r="312" spans="2:4" x14ac:dyDescent="0.25">
      <c r="B312"/>
      <c r="C312"/>
      <c r="D312"/>
    </row>
    <row r="313" spans="2:4" x14ac:dyDescent="0.25">
      <c r="B313"/>
      <c r="C313"/>
      <c r="D313"/>
    </row>
    <row r="314" spans="2:4" x14ac:dyDescent="0.25">
      <c r="B314"/>
      <c r="C314"/>
      <c r="D314"/>
    </row>
    <row r="315" spans="2:4" x14ac:dyDescent="0.25">
      <c r="B315"/>
      <c r="C315"/>
      <c r="D315"/>
    </row>
    <row r="316" spans="2:4" x14ac:dyDescent="0.25">
      <c r="B316"/>
      <c r="C316"/>
      <c r="D316"/>
    </row>
    <row r="317" spans="2:4" x14ac:dyDescent="0.25">
      <c r="B317"/>
      <c r="C317"/>
      <c r="D317"/>
    </row>
    <row r="318" spans="2:4" x14ac:dyDescent="0.25">
      <c r="B318"/>
      <c r="C318"/>
      <c r="D318"/>
    </row>
    <row r="319" spans="2:4" x14ac:dyDescent="0.25">
      <c r="B319"/>
      <c r="C319"/>
      <c r="D319"/>
    </row>
    <row r="320" spans="2:4" x14ac:dyDescent="0.25">
      <c r="B320"/>
      <c r="C320"/>
      <c r="D320"/>
    </row>
    <row r="321" spans="2:4" x14ac:dyDescent="0.25">
      <c r="B321"/>
      <c r="C321"/>
      <c r="D321"/>
    </row>
    <row r="322" spans="2:4" x14ac:dyDescent="0.25">
      <c r="B322"/>
      <c r="C322"/>
      <c r="D322"/>
    </row>
    <row r="323" spans="2:4" x14ac:dyDescent="0.25">
      <c r="B323"/>
      <c r="C323"/>
      <c r="D323"/>
    </row>
    <row r="324" spans="2:4" x14ac:dyDescent="0.25">
      <c r="B324"/>
      <c r="C324"/>
      <c r="D324"/>
    </row>
    <row r="325" spans="2:4" x14ac:dyDescent="0.25">
      <c r="B325"/>
      <c r="C325"/>
      <c r="D325"/>
    </row>
    <row r="326" spans="2:4" x14ac:dyDescent="0.25">
      <c r="B326"/>
      <c r="C326"/>
      <c r="D326"/>
    </row>
    <row r="327" spans="2:4" x14ac:dyDescent="0.25">
      <c r="B327"/>
      <c r="C327"/>
      <c r="D327"/>
    </row>
    <row r="328" spans="2:4" x14ac:dyDescent="0.25">
      <c r="B328"/>
      <c r="C328"/>
      <c r="D328"/>
    </row>
    <row r="329" spans="2:4" x14ac:dyDescent="0.25">
      <c r="B329"/>
      <c r="C329"/>
      <c r="D329"/>
    </row>
    <row r="330" spans="2:4" x14ac:dyDescent="0.25">
      <c r="B330"/>
      <c r="C330"/>
      <c r="D330"/>
    </row>
    <row r="331" spans="2:4" x14ac:dyDescent="0.25">
      <c r="B331"/>
      <c r="C331"/>
      <c r="D331"/>
    </row>
    <row r="332" spans="2:4" x14ac:dyDescent="0.25">
      <c r="B332"/>
      <c r="C332"/>
      <c r="D332"/>
    </row>
    <row r="333" spans="2:4" x14ac:dyDescent="0.25">
      <c r="B333"/>
      <c r="C333"/>
      <c r="D333"/>
    </row>
    <row r="334" spans="2:4" x14ac:dyDescent="0.25">
      <c r="B334"/>
      <c r="C334"/>
      <c r="D334"/>
    </row>
    <row r="335" spans="2:4" x14ac:dyDescent="0.25">
      <c r="B335"/>
      <c r="C335"/>
      <c r="D335"/>
    </row>
    <row r="336" spans="2:4" x14ac:dyDescent="0.25">
      <c r="B336"/>
      <c r="C336"/>
      <c r="D336"/>
    </row>
    <row r="337" spans="2:4" x14ac:dyDescent="0.25">
      <c r="B337"/>
      <c r="C337"/>
      <c r="D337"/>
    </row>
    <row r="338" spans="2:4" x14ac:dyDescent="0.25">
      <c r="B338"/>
      <c r="C338"/>
      <c r="D338"/>
    </row>
    <row r="339" spans="2:4" x14ac:dyDescent="0.25">
      <c r="B339"/>
      <c r="C339"/>
      <c r="D339"/>
    </row>
    <row r="340" spans="2:4" x14ac:dyDescent="0.25">
      <c r="B340"/>
      <c r="C340"/>
      <c r="D340"/>
    </row>
    <row r="341" spans="2:4" x14ac:dyDescent="0.25">
      <c r="B341"/>
      <c r="C341"/>
      <c r="D341"/>
    </row>
    <row r="342" spans="2:4" x14ac:dyDescent="0.25">
      <c r="B342"/>
      <c r="C342"/>
      <c r="D342"/>
    </row>
    <row r="343" spans="2:4" x14ac:dyDescent="0.25">
      <c r="B343"/>
      <c r="C343"/>
      <c r="D343"/>
    </row>
    <row r="344" spans="2:4" x14ac:dyDescent="0.25">
      <c r="B344"/>
      <c r="C344"/>
      <c r="D344"/>
    </row>
    <row r="345" spans="2:4" x14ac:dyDescent="0.25">
      <c r="B345"/>
      <c r="C345"/>
      <c r="D345"/>
    </row>
    <row r="346" spans="2:4" x14ac:dyDescent="0.25">
      <c r="B346"/>
      <c r="C346"/>
      <c r="D346"/>
    </row>
    <row r="347" spans="2:4" x14ac:dyDescent="0.25">
      <c r="B347"/>
      <c r="C347"/>
      <c r="D347"/>
    </row>
    <row r="348" spans="2:4" x14ac:dyDescent="0.25">
      <c r="B348"/>
      <c r="C348"/>
      <c r="D348"/>
    </row>
    <row r="349" spans="2:4" x14ac:dyDescent="0.25">
      <c r="B349"/>
      <c r="C349"/>
      <c r="D349"/>
    </row>
    <row r="350" spans="2:4" x14ac:dyDescent="0.25">
      <c r="B350"/>
      <c r="C350"/>
      <c r="D350"/>
    </row>
    <row r="351" spans="2:4" x14ac:dyDescent="0.25">
      <c r="B351"/>
      <c r="C351"/>
      <c r="D351"/>
    </row>
    <row r="352" spans="2:4" x14ac:dyDescent="0.25">
      <c r="B352"/>
      <c r="C352"/>
      <c r="D352"/>
    </row>
    <row r="353" spans="2:4" x14ac:dyDescent="0.25">
      <c r="B353"/>
      <c r="C353"/>
      <c r="D353"/>
    </row>
    <row r="354" spans="2:4" x14ac:dyDescent="0.25">
      <c r="B354"/>
      <c r="C354"/>
      <c r="D354"/>
    </row>
    <row r="355" spans="2:4" x14ac:dyDescent="0.25">
      <c r="B355"/>
      <c r="C355"/>
      <c r="D355"/>
    </row>
    <row r="356" spans="2:4" x14ac:dyDescent="0.25">
      <c r="B356"/>
      <c r="C356"/>
      <c r="D356"/>
    </row>
    <row r="357" spans="2:4" x14ac:dyDescent="0.25">
      <c r="B357"/>
      <c r="C357"/>
      <c r="D357"/>
    </row>
    <row r="358" spans="2:4" x14ac:dyDescent="0.25">
      <c r="B358"/>
      <c r="C358"/>
      <c r="D358"/>
    </row>
    <row r="359" spans="2:4" x14ac:dyDescent="0.25">
      <c r="B359"/>
      <c r="C359"/>
      <c r="D359"/>
    </row>
    <row r="360" spans="2:4" x14ac:dyDescent="0.25">
      <c r="B360"/>
      <c r="C360"/>
      <c r="D360"/>
    </row>
    <row r="361" spans="2:4" x14ac:dyDescent="0.25">
      <c r="B361"/>
      <c r="C361"/>
      <c r="D361"/>
    </row>
    <row r="362" spans="2:4" x14ac:dyDescent="0.25">
      <c r="B362"/>
      <c r="C362"/>
      <c r="D362"/>
    </row>
    <row r="363" spans="2:4" x14ac:dyDescent="0.25">
      <c r="B363"/>
      <c r="C363"/>
      <c r="D363"/>
    </row>
    <row r="364" spans="2:4" x14ac:dyDescent="0.25">
      <c r="B364"/>
      <c r="C364"/>
      <c r="D364"/>
    </row>
    <row r="365" spans="2:4" x14ac:dyDescent="0.25">
      <c r="B365"/>
      <c r="C365"/>
      <c r="D365"/>
    </row>
    <row r="366" spans="2:4" x14ac:dyDescent="0.25">
      <c r="B366"/>
      <c r="C366"/>
      <c r="D366"/>
    </row>
    <row r="367" spans="2:4" x14ac:dyDescent="0.25">
      <c r="B367"/>
      <c r="C367"/>
      <c r="D367"/>
    </row>
    <row r="368" spans="2:4" x14ac:dyDescent="0.25">
      <c r="B368"/>
      <c r="C368"/>
      <c r="D368"/>
    </row>
    <row r="369" spans="2:4" x14ac:dyDescent="0.25">
      <c r="B369"/>
      <c r="C369"/>
      <c r="D369"/>
    </row>
    <row r="370" spans="2:4" x14ac:dyDescent="0.25">
      <c r="B370"/>
      <c r="C370"/>
      <c r="D370"/>
    </row>
    <row r="371" spans="2:4" x14ac:dyDescent="0.25">
      <c r="B371"/>
      <c r="C371"/>
      <c r="D371"/>
    </row>
    <row r="372" spans="2:4" x14ac:dyDescent="0.25">
      <c r="B372"/>
      <c r="C372"/>
      <c r="D372"/>
    </row>
    <row r="373" spans="2:4" x14ac:dyDescent="0.25">
      <c r="B373"/>
      <c r="C373"/>
      <c r="D373"/>
    </row>
    <row r="374" spans="2:4" x14ac:dyDescent="0.25">
      <c r="B374"/>
      <c r="C374"/>
      <c r="D374"/>
    </row>
    <row r="375" spans="2:4" x14ac:dyDescent="0.25">
      <c r="B375"/>
      <c r="C375"/>
      <c r="D375"/>
    </row>
    <row r="376" spans="2:4" x14ac:dyDescent="0.25">
      <c r="B376"/>
      <c r="C376"/>
      <c r="D376"/>
    </row>
    <row r="377" spans="2:4" x14ac:dyDescent="0.25">
      <c r="B377"/>
      <c r="C377"/>
      <c r="D377"/>
    </row>
    <row r="378" spans="2:4" x14ac:dyDescent="0.25">
      <c r="B378"/>
      <c r="C378"/>
    </row>
    <row r="379" spans="2:4" x14ac:dyDescent="0.25">
      <c r="B379"/>
      <c r="C379"/>
    </row>
    <row r="380" spans="2:4" x14ac:dyDescent="0.25">
      <c r="B380"/>
      <c r="C380"/>
    </row>
    <row r="381" spans="2:4" x14ac:dyDescent="0.25">
      <c r="B381"/>
      <c r="C381"/>
    </row>
    <row r="382" spans="2:4" x14ac:dyDescent="0.25">
      <c r="B382"/>
      <c r="C382"/>
    </row>
    <row r="383" spans="2:4" x14ac:dyDescent="0.25">
      <c r="B383"/>
      <c r="C383"/>
    </row>
    <row r="384" spans="2:4"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1:4" x14ac:dyDescent="0.25">
      <c r="B593"/>
      <c r="C593"/>
    </row>
    <row r="594" spans="1:4" x14ac:dyDescent="0.25">
      <c r="B594"/>
      <c r="C594"/>
    </row>
    <row r="595" spans="1:4" x14ac:dyDescent="0.25">
      <c r="B595"/>
      <c r="C595"/>
    </row>
    <row r="596" spans="1:4" x14ac:dyDescent="0.25">
      <c r="B596"/>
      <c r="C596"/>
    </row>
    <row r="597" spans="1:4" x14ac:dyDescent="0.25">
      <c r="B597"/>
      <c r="C597"/>
    </row>
    <row r="598" spans="1:4" x14ac:dyDescent="0.25">
      <c r="B598"/>
      <c r="C598"/>
    </row>
    <row r="599" spans="1:4" x14ac:dyDescent="0.25">
      <c r="B599"/>
      <c r="C599"/>
    </row>
    <row r="600" spans="1:4" x14ac:dyDescent="0.25">
      <c r="B600"/>
      <c r="C600"/>
    </row>
    <row r="602" spans="1:4" x14ac:dyDescent="0.25">
      <c r="A602" s="1" t="s">
        <v>1173</v>
      </c>
      <c r="B602" t="s">
        <v>1175</v>
      </c>
      <c r="C602" t="s">
        <v>1181</v>
      </c>
      <c r="D602" t="s">
        <v>1176</v>
      </c>
    </row>
    <row r="603" spans="1:4" x14ac:dyDescent="0.25">
      <c r="A603" s="2" t="s">
        <v>1180</v>
      </c>
      <c r="B603" s="4">
        <v>105413.15789473684</v>
      </c>
      <c r="C603" s="4">
        <v>120892.10526315789</v>
      </c>
      <c r="D603" s="4">
        <v>136371.05263157896</v>
      </c>
    </row>
    <row r="604" spans="1:4" x14ac:dyDescent="0.25">
      <c r="A604" s="2" t="s">
        <v>855</v>
      </c>
      <c r="B604" s="4">
        <v>93843.199999999997</v>
      </c>
      <c r="C604" s="4">
        <v>110976</v>
      </c>
      <c r="D604" s="4">
        <v>128108.8</v>
      </c>
    </row>
    <row r="605" spans="1:4" x14ac:dyDescent="0.25">
      <c r="A605" s="2" t="s">
        <v>1174</v>
      </c>
      <c r="B605" s="4">
        <v>104973.79240506329</v>
      </c>
      <c r="C605" s="4">
        <v>120515.54430379746</v>
      </c>
      <c r="D605" s="4">
        <v>136057.29620253164</v>
      </c>
    </row>
    <row r="606" spans="1:4" x14ac:dyDescent="0.25">
      <c r="B606"/>
      <c r="C606"/>
    </row>
    <row r="607" spans="1:4" x14ac:dyDescent="0.25">
      <c r="A607" s="1" t="s">
        <v>1173</v>
      </c>
      <c r="B607" s="5" t="s">
        <v>1178</v>
      </c>
      <c r="C607"/>
      <c r="D607"/>
    </row>
    <row r="608" spans="1:4" x14ac:dyDescent="0.25">
      <c r="A608" s="2" t="s">
        <v>1180</v>
      </c>
      <c r="B608" s="5">
        <v>4.2888888888888896</v>
      </c>
      <c r="C608"/>
      <c r="D608"/>
    </row>
    <row r="609" spans="1:4" x14ac:dyDescent="0.25">
      <c r="A609" s="2" t="s">
        <v>855</v>
      </c>
      <c r="B609" s="5">
        <v>3.5</v>
      </c>
      <c r="C609"/>
      <c r="D609"/>
    </row>
    <row r="610" spans="1:4" x14ac:dyDescent="0.25">
      <c r="A610" s="2" t="s">
        <v>1174</v>
      </c>
      <c r="B610" s="5">
        <v>4.2745454545454553</v>
      </c>
      <c r="C610"/>
      <c r="D610"/>
    </row>
    <row r="611" spans="1:4" x14ac:dyDescent="0.25">
      <c r="B611"/>
      <c r="C611"/>
      <c r="D611"/>
    </row>
    <row r="612" spans="1:4" x14ac:dyDescent="0.25">
      <c r="B612"/>
      <c r="C612"/>
      <c r="D612"/>
    </row>
    <row r="613" spans="1:4" x14ac:dyDescent="0.25">
      <c r="B613"/>
      <c r="C613"/>
      <c r="D613"/>
    </row>
    <row r="614" spans="1:4" x14ac:dyDescent="0.25">
      <c r="B614"/>
      <c r="C614"/>
      <c r="D614"/>
    </row>
    <row r="615" spans="1:4" x14ac:dyDescent="0.25">
      <c r="B615"/>
      <c r="C615"/>
      <c r="D615"/>
    </row>
    <row r="616" spans="1:4" x14ac:dyDescent="0.25">
      <c r="B616"/>
      <c r="C616"/>
      <c r="D616"/>
    </row>
    <row r="617" spans="1:4" x14ac:dyDescent="0.25">
      <c r="B617"/>
      <c r="C617"/>
      <c r="D617"/>
    </row>
    <row r="618" spans="1:4" x14ac:dyDescent="0.25">
      <c r="B618"/>
      <c r="C618"/>
      <c r="D618"/>
    </row>
    <row r="619" spans="1:4" x14ac:dyDescent="0.25">
      <c r="B619"/>
      <c r="C619"/>
      <c r="D619"/>
    </row>
    <row r="620" spans="1:4" x14ac:dyDescent="0.25">
      <c r="B620"/>
      <c r="C620"/>
      <c r="D620"/>
    </row>
    <row r="621" spans="1:4" x14ac:dyDescent="0.25">
      <c r="B621"/>
      <c r="C621"/>
      <c r="D621"/>
    </row>
    <row r="622" spans="1:4" x14ac:dyDescent="0.25">
      <c r="B622"/>
      <c r="C622"/>
      <c r="D622"/>
    </row>
    <row r="623" spans="1:4" x14ac:dyDescent="0.25">
      <c r="B623"/>
      <c r="C623"/>
      <c r="D623"/>
    </row>
    <row r="624" spans="1:4" x14ac:dyDescent="0.25">
      <c r="B624"/>
      <c r="C624"/>
      <c r="D624"/>
    </row>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spans="2:4" x14ac:dyDescent="0.25">
      <c r="B897"/>
      <c r="C897"/>
      <c r="D897"/>
    </row>
    <row r="898" spans="2:4" x14ac:dyDescent="0.25">
      <c r="B898"/>
      <c r="C898"/>
      <c r="D898"/>
    </row>
    <row r="899" spans="2:4" x14ac:dyDescent="0.25">
      <c r="B899"/>
      <c r="C899"/>
      <c r="D899"/>
    </row>
    <row r="900" spans="2:4" x14ac:dyDescent="0.25">
      <c r="B900"/>
      <c r="C900"/>
      <c r="D900"/>
    </row>
    <row r="901" spans="2:4" x14ac:dyDescent="0.25">
      <c r="B901"/>
      <c r="C901"/>
      <c r="D901"/>
    </row>
    <row r="902" spans="2:4" x14ac:dyDescent="0.25">
      <c r="B902"/>
    </row>
    <row r="903" spans="2:4" x14ac:dyDescent="0.25">
      <c r="B903"/>
    </row>
    <row r="904" spans="2:4" x14ac:dyDescent="0.25">
      <c r="B904"/>
    </row>
    <row r="905" spans="2:4" x14ac:dyDescent="0.25">
      <c r="B905"/>
    </row>
    <row r="906" spans="2:4" x14ac:dyDescent="0.25">
      <c r="B906"/>
    </row>
    <row r="907" spans="2:4" x14ac:dyDescent="0.25">
      <c r="B907"/>
    </row>
    <row r="908" spans="2:4" x14ac:dyDescent="0.25">
      <c r="B908"/>
    </row>
    <row r="909" spans="2:4" x14ac:dyDescent="0.25">
      <c r="B909"/>
    </row>
    <row r="910" spans="2:4" x14ac:dyDescent="0.25">
      <c r="B910"/>
    </row>
    <row r="911" spans="2:4" x14ac:dyDescent="0.25">
      <c r="B911"/>
    </row>
    <row r="912" spans="2:4" x14ac:dyDescent="0.25">
      <c r="B912"/>
    </row>
    <row r="913" spans="2:2" x14ac:dyDescent="0.25">
      <c r="B913"/>
    </row>
    <row r="914" spans="2:2" x14ac:dyDescent="0.25">
      <c r="B914"/>
    </row>
    <row r="915" spans="2:2" x14ac:dyDescent="0.25">
      <c r="B915"/>
    </row>
    <row r="916" spans="2:2" x14ac:dyDescent="0.25">
      <c r="B916"/>
    </row>
    <row r="917" spans="2:2" x14ac:dyDescent="0.25">
      <c r="B917"/>
    </row>
    <row r="918" spans="2:2" x14ac:dyDescent="0.25">
      <c r="B918"/>
    </row>
    <row r="919" spans="2:2" x14ac:dyDescent="0.25">
      <c r="B919"/>
    </row>
    <row r="920" spans="2:2" x14ac:dyDescent="0.25">
      <c r="B920"/>
    </row>
    <row r="921" spans="2:2" x14ac:dyDescent="0.25">
      <c r="B921"/>
    </row>
    <row r="922" spans="2:2" x14ac:dyDescent="0.25">
      <c r="B922"/>
    </row>
    <row r="923" spans="2:2" x14ac:dyDescent="0.25">
      <c r="B923"/>
    </row>
    <row r="924" spans="2:2" x14ac:dyDescent="0.25">
      <c r="B924"/>
    </row>
    <row r="925" spans="2:2" x14ac:dyDescent="0.25">
      <c r="B925"/>
    </row>
    <row r="926" spans="2:2" x14ac:dyDescent="0.25">
      <c r="B926"/>
    </row>
    <row r="927" spans="2:2" x14ac:dyDescent="0.25">
      <c r="B927"/>
    </row>
    <row r="928" spans="2:2" x14ac:dyDescent="0.25">
      <c r="B928"/>
    </row>
    <row r="929" spans="2:2" x14ac:dyDescent="0.25">
      <c r="B929"/>
    </row>
    <row r="930" spans="2:2" x14ac:dyDescent="0.25">
      <c r="B930"/>
    </row>
    <row r="931" spans="2:2" x14ac:dyDescent="0.25">
      <c r="B931"/>
    </row>
    <row r="932" spans="2:2" x14ac:dyDescent="0.25">
      <c r="B932"/>
    </row>
    <row r="933" spans="2:2" x14ac:dyDescent="0.25">
      <c r="B933"/>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06FA-C881-4EA7-BC89-ABAB65DEBF86}">
  <dimension ref="A1:T9"/>
  <sheetViews>
    <sheetView showGridLines="0" tabSelected="1" zoomScale="85" zoomScaleNormal="85" workbookViewId="0">
      <selection activeCell="AA17" sqref="AA17"/>
    </sheetView>
  </sheetViews>
  <sheetFormatPr defaultRowHeight="15" x14ac:dyDescent="0.25"/>
  <sheetData>
    <row r="1" spans="1:20" x14ac:dyDescent="0.25">
      <c r="A1" s="6" t="s">
        <v>1182</v>
      </c>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R2" s="7"/>
      <c r="S2" s="7"/>
      <c r="T2" s="7"/>
    </row>
    <row r="3" spans="1:20" x14ac:dyDescent="0.25">
      <c r="A3" s="7"/>
      <c r="B3" s="7"/>
      <c r="C3" s="7"/>
      <c r="D3" s="7"/>
      <c r="E3" s="7"/>
      <c r="F3" s="7"/>
      <c r="G3" s="7"/>
      <c r="H3" s="7"/>
      <c r="I3" s="7"/>
      <c r="J3" s="7"/>
      <c r="K3" s="7"/>
      <c r="L3" s="7"/>
      <c r="M3" s="7"/>
      <c r="N3" s="7"/>
      <c r="O3" s="7"/>
      <c r="P3" s="7"/>
      <c r="Q3" s="7"/>
      <c r="R3" s="7"/>
      <c r="S3" s="7"/>
      <c r="T3" s="7"/>
    </row>
    <row r="4" spans="1:20" x14ac:dyDescent="0.25">
      <c r="A4" s="7"/>
      <c r="B4" s="7"/>
      <c r="C4" s="7"/>
      <c r="D4" s="7"/>
      <c r="E4" s="7"/>
      <c r="F4" s="7"/>
      <c r="G4" s="7"/>
      <c r="H4" s="7"/>
      <c r="I4" s="7"/>
      <c r="J4" s="7"/>
      <c r="K4" s="7"/>
      <c r="L4" s="7"/>
      <c r="M4" s="7"/>
      <c r="N4" s="7"/>
      <c r="O4" s="7"/>
      <c r="P4" s="7"/>
      <c r="Q4" s="7"/>
      <c r="R4" s="7"/>
      <c r="S4" s="7"/>
      <c r="T4" s="7"/>
    </row>
    <row r="5" spans="1:20" x14ac:dyDescent="0.25">
      <c r="A5" s="7"/>
      <c r="B5" s="7"/>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sheetData>
  <mergeCells count="1">
    <mergeCell ref="A1: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palreed</cp:lastModifiedBy>
  <dcterms:modified xsi:type="dcterms:W3CDTF">2026-09-29T18:01:52Z</dcterms:modified>
</cp:coreProperties>
</file>